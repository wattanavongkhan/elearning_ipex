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sk365.sharepoint.com/sites/TH-PCData/Shared Documents/04.sale report PC/Daily Sale progress/2026/"/>
    </mc:Choice>
  </mc:AlternateContent>
  <xr:revisionPtr revIDLastSave="2668" documentId="8_{09C89D1A-6FCD-4965-A93D-5B06E83803FF}" xr6:coauthVersionLast="47" xr6:coauthVersionMax="47" xr10:uidLastSave="{3D395D73-D7FF-4E5F-9C34-7102703B7168}"/>
  <bookViews>
    <workbookView xWindow="-108" yWindow="-108" windowWidth="23256" windowHeight="12576" xr2:uid="{00000000-000D-0000-FFFF-FFFF00000000}"/>
  </bookViews>
  <sheets>
    <sheet name="Data" sheetId="1" r:id="rId1"/>
    <sheet name="Over view" sheetId="2" r:id="rId2"/>
    <sheet name="WD" sheetId="3" r:id="rId3"/>
    <sheet name="PRB" sheetId="4" r:id="rId4"/>
    <sheet name="ADVICS" sheetId="5" r:id="rId5"/>
    <sheet name="TAP-C" sheetId="6" r:id="rId6"/>
    <sheet name="Other" sheetId="7" r:id="rId7"/>
    <sheet name="Sheet1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a">#REF!</definedName>
    <definedName name="\b">#REF!</definedName>
    <definedName name="\c">#REF!</definedName>
    <definedName name="__A1">[1]承認票!$J$2</definedName>
    <definedName name="__A815010">[2]参考!#REF!</definedName>
    <definedName name="__f05">#REF!</definedName>
    <definedName name="__MC300000">#REF!</definedName>
    <definedName name="__MC850001">#REF!</definedName>
    <definedName name="__MC860000">#REF!</definedName>
    <definedName name="__MC860001">#REF!</definedName>
    <definedName name="__MC860002">#REF!</definedName>
    <definedName name="__qqq10">#REF!</definedName>
    <definedName name="__qqq2">#REF!</definedName>
    <definedName name="__qqq3">#REF!</definedName>
    <definedName name="__qqq4">#REF!</definedName>
    <definedName name="__qqq5">#REF!</definedName>
    <definedName name="__qqq56">#REF!</definedName>
    <definedName name="__qqq8">#REF!</definedName>
    <definedName name="_1_0印">[3]社員リスト!#REF!</definedName>
    <definedName name="_A1">[1]承認票!$J$2</definedName>
    <definedName name="_A815010">[2]参考!#REF!</definedName>
    <definedName name="_f05">#REF!</definedName>
    <definedName name="_Fill" hidden="1">#REF!</definedName>
    <definedName name="_HK_TBL">#REF!</definedName>
    <definedName name="_MC300000">#REF!</definedName>
    <definedName name="_MC850001">#REF!</definedName>
    <definedName name="_MC860000">#REF!</definedName>
    <definedName name="_MC860001">#REF!</definedName>
    <definedName name="_MC860002">#REF!</definedName>
    <definedName name="_Order1" hidden="1">255</definedName>
    <definedName name="_qqq10">#REF!</definedName>
    <definedName name="_qqq2">#REF!</definedName>
    <definedName name="_qqq3">#REF!</definedName>
    <definedName name="_qqq4">#REF!</definedName>
    <definedName name="_qqq5">#REF!</definedName>
    <definedName name="_qqq56">#REF!</definedName>
    <definedName name="_qqq7">#REF!</definedName>
    <definedName name="_qqq8">#REF!</definedName>
    <definedName name="_qqq9">#REF!</definedName>
    <definedName name="_RC29K_BMENG">[4]RCP作業!$O$1:$O$65536</definedName>
    <definedName name="_RC29N_MATNR">[4]RCP作業!$R$1:$R$65536</definedName>
    <definedName name="_RC29N_WERKS">[4]RCP作業!$S$1:$S$65536</definedName>
    <definedName name="_RC29P_IDNRK">[4]RCP作業!$AJ$1:$AJ$65536</definedName>
    <definedName name="_RC29P_MEINS">[4]RCP作業!$AM$1:$AM$65536</definedName>
    <definedName name="_RC29P_MENGE">[4]RCP作業!$AL$1:$AL$65536</definedName>
    <definedName name="_RC29P_POSNR">[4]RCP作業!$AI$1:$AI$65536</definedName>
    <definedName name="_RC29P_POSTP">[4]RCP作業!$AN$1</definedName>
    <definedName name="_RC29P_SORTF">[4]RCP作業!$AO$1:$AO$65536</definedName>
    <definedName name="_Table2_In1" hidden="1">[5]LIST!#REF!</definedName>
    <definedName name="_Table2_In2" hidden="1">[5]LIST!#REF!</definedName>
    <definedName name="_TK_TBL">#REF!</definedName>
    <definedName name="_価値低下区分">#REF!</definedName>
    <definedName name="_利用区分">#REF!</definedName>
    <definedName name="_地区区分">#REF!</definedName>
    <definedName name="_地目区分">#REF!</definedName>
    <definedName name="_奥行区分">#REF!</definedName>
    <definedName name="_評価区分">#REF!</definedName>
    <definedName name="A" hidden="1">#REF!</definedName>
    <definedName name="A_1">#REF!</definedName>
    <definedName name="A_2">#REF!</definedName>
    <definedName name="A_3">#REF!</definedName>
    <definedName name="A_4">#REF!</definedName>
    <definedName name="A8150101">[2]参考!#REF!</definedName>
    <definedName name="A8150102">[2]参考!#REF!</definedName>
    <definedName name="A8150103">[2]参考!#REF!</definedName>
    <definedName name="A8150104">[2]参考!#REF!</definedName>
    <definedName name="A8150202">[2]参考!#REF!</definedName>
    <definedName name="A8150303">[2]参考!#REF!</definedName>
    <definedName name="A8150304">[2]参考!#REF!</definedName>
    <definedName name="A8150402">[2]参考!#REF!</definedName>
    <definedName name="A8151010">[2]参考!#REF!</definedName>
    <definedName name="A8151020">[2]参考!#REF!</definedName>
    <definedName name="A8151110">[2]参考!#REF!</definedName>
    <definedName name="A8175630">[2]参考!#REF!</definedName>
    <definedName name="A8175633">[2]参考!#REF!</definedName>
    <definedName name="A8175720">[2]参考!#REF!</definedName>
    <definedName name="A8175810">[2]参考!#REF!</definedName>
    <definedName name="A8175820">[2]参考!#REF!</definedName>
    <definedName name="A8175830">[2]参考!#REF!</definedName>
    <definedName name="A8176610">[2]参考!#REF!</definedName>
    <definedName name="A8180450">[2]参考!#REF!</definedName>
    <definedName name="A8180460">[2]参考!#REF!</definedName>
    <definedName name="A8184020">[2]参考!#REF!</definedName>
    <definedName name="A8186005">[2]参考!#REF!</definedName>
    <definedName name="A8187050">[2]参考!#REF!</definedName>
    <definedName name="A8187060">[2]参考!#REF!</definedName>
    <definedName name="A8188014">[2]参考!#REF!</definedName>
    <definedName name="A8188015">[2]参考!#REF!</definedName>
    <definedName name="A8188016">[2]参考!#REF!</definedName>
    <definedName name="A8188017">[2]参考!#REF!</definedName>
    <definedName name="A8188018">[2]参考!#REF!</definedName>
    <definedName name="A8188019">[2]参考!#REF!</definedName>
    <definedName name="A8188020">[2]参考!#REF!</definedName>
    <definedName name="A8188021">[2]参考!#REF!</definedName>
    <definedName name="A8188022">[2]参考!#REF!</definedName>
    <definedName name="A8188041">[2]参考!#REF!</definedName>
    <definedName name="A8188042">[2]参考!#REF!</definedName>
    <definedName name="A8188043">[2]参考!#REF!</definedName>
    <definedName name="A8188044">[2]参考!#REF!</definedName>
    <definedName name="A8188052">[2]参考!#REF!</definedName>
    <definedName name="A8188053">[2]参考!#REF!</definedName>
    <definedName name="A8188054">[2]参考!#REF!</definedName>
    <definedName name="A8193050">[2]参考!#REF!</definedName>
    <definedName name="A8195050">[2]参考!#REF!</definedName>
    <definedName name="A8196015">[2]参考!#REF!</definedName>
    <definedName name="A8199150">[2]参考!#REF!</definedName>
    <definedName name="A8199170">[2]参考!#REF!</definedName>
    <definedName name="A8199210">[2]参考!#REF!</definedName>
    <definedName name="A8199310">[2]参考!#REF!</definedName>
    <definedName name="A9275690">[2]参考!#REF!</definedName>
    <definedName name="A9275790">[2]参考!#REF!</definedName>
    <definedName name="aaa">#REF!</definedName>
    <definedName name="aaaaa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CF_L100">[6]FT8000全製品!#REF!</definedName>
    <definedName name="ACF_L140">[6]FT8000全製品!#REF!</definedName>
    <definedName name="ACF_L190">[6]FT8000全製品!#REF!</definedName>
    <definedName name="ACF_L19M">[6]FT8000全製品!#REF!</definedName>
    <definedName name="ACF_N100">[6]FT8000全製品!#REF!</definedName>
    <definedName name="ACF_N140">[6]FT8000全製品!#REF!</definedName>
    <definedName name="ACF_N190">[6]FT8000全製品!#REF!</definedName>
    <definedName name="ACF_N19M">[6]FT8000全製品!#REF!</definedName>
    <definedName name="ACF_P100">[6]FT8000全製品!#REF!</definedName>
    <definedName name="ACF_P190">[6]FT8000全製品!#REF!</definedName>
    <definedName name="ACF_P19M">[6]FT8000全製品!#REF!</definedName>
    <definedName name="ACF_P1A0">[6]FT8000全製品!#REF!</definedName>
    <definedName name="ACF_P200">[6]FT8000全製品!#REF!</definedName>
    <definedName name="ACF_P290">[6]FT8000全製品!#REF!</definedName>
    <definedName name="ACF_P29M">[6]FT8000全製品!#REF!</definedName>
    <definedName name="ACF_P2A0">[6]FT8000全製品!#REF!</definedName>
    <definedName name="ACF_PW8">[6]FT8000全製品!#REF!</definedName>
    <definedName name="ACF_R100">[6]FT8000全製品!#REF!</definedName>
    <definedName name="ACF_R190">[6]FT8000全製品!#REF!</definedName>
    <definedName name="ACF_R19M">[6]FT8000全製品!#REF!</definedName>
    <definedName name="ACF_R1A0">[6]FT8000全製品!#REF!</definedName>
    <definedName name="ACF_R200">[6]FT8000全製品!#REF!</definedName>
    <definedName name="ACF_R290">[6]FT8000全製品!#REF!</definedName>
    <definedName name="ACF_R29M">[6]FT8000全製品!#REF!</definedName>
    <definedName name="ACF_R2A0">[6]FT8000全製品!#REF!</definedName>
    <definedName name="ACF_T100">#REF!</definedName>
    <definedName name="ACF_T200">#REF!</definedName>
    <definedName name="ACF_U100">#REF!</definedName>
    <definedName name="ACF_U200">#REF!</definedName>
    <definedName name="ADDON" hidden="1">{"'その他費用'!$B$3:$J$22"}</definedName>
    <definedName name="ADDON_2" hidden="1">{"'その他費用'!$B$3:$J$22"}</definedName>
    <definedName name="ALORT">[4]RCP作業!$X$1:$X$65536</definedName>
    <definedName name="AP_KAI_EN">#REF!</definedName>
    <definedName name="AP_KAI_KOSU">#REF!</definedName>
    <definedName name="AP_KIK_EN">#REF!</definedName>
    <definedName name="AP_KIK_KOSU">#REF!</definedName>
    <definedName name="AP_SEK_EN">#REF!</definedName>
    <definedName name="AP_SEK_KOSU">#REF!</definedName>
    <definedName name="ARBPL">[4]RCP作業!$AF$1:$AF$65536</definedName>
    <definedName name="AUTHOR">#REF!</definedName>
    <definedName name="B" hidden="1">{"'その他費用'!$B$3:$J$22"}</definedName>
    <definedName name="B1L">#REF!</definedName>
    <definedName name="BASE">#REF!</definedName>
    <definedName name="BASE2">#REF!</definedName>
    <definedName name="BaselineName">#REF!</definedName>
    <definedName name="bb">#REF!</definedName>
    <definedName name="BDCBookName">#REF!</definedName>
    <definedName name="BDCEndRow">#REF!</definedName>
    <definedName name="BDCErrOnly">#REF!</definedName>
    <definedName name="BDCSheetName">#REF!</definedName>
    <definedName name="BDCStartRow">#REF!</definedName>
    <definedName name="BPR_POINT">#REF!</definedName>
    <definedName name="Cancel_DFDS">[7]!Cancel_DFDS</definedName>
    <definedName name="CName">#REF!</definedName>
    <definedName name="CPHD2018G">#REF!</definedName>
    <definedName name="CPHD209G">#REF!</definedName>
    <definedName name="CPHD2136G">#REF!</definedName>
    <definedName name="CPNT4KT2">#REF!</definedName>
    <definedName name="CPSPROT">#REF!</definedName>
    <definedName name="CPUL1">[6]FT8000全製品!#REF!</definedName>
    <definedName name="CPUN1">[6]FT8000全製品!#REF!</definedName>
    <definedName name="CPUP1">[6]FT8000全製品!#REF!</definedName>
    <definedName name="CPUR1">[6]FT8000全製品!#REF!</definedName>
    <definedName name="CPUT1">#REF!</definedName>
    <definedName name="CPUU1">#REF!</definedName>
    <definedName name="CPW2KKT2">#REF!</definedName>
    <definedName name="_xlnm.Criteria">[8]ＦＢ外為データ項目一覧!#REF!</definedName>
    <definedName name="_xlnm.Database">[9]顧客リスト!$A$5:$F$198</definedName>
    <definedName name="DD_Ref">[10]!DD_Ref</definedName>
    <definedName name="ＤＤ１">#REF!</definedName>
    <definedName name="ddd">#REF!</definedName>
    <definedName name="DENPYO">[11]伝票タイプ一覧!$A$2:$B$128</definedName>
    <definedName name="DS_KEYS">#REF!</definedName>
    <definedName name="DS_KEYSKEYS">#REF!</definedName>
    <definedName name="DS_NM">#REF!</definedName>
    <definedName name="DS_NMNM">#REF!</definedName>
    <definedName name="EPHD2018G">#REF!</definedName>
    <definedName name="EPHD209G">#REF!</definedName>
    <definedName name="EPHD2136G">#REF!</definedName>
    <definedName name="EPNT4KT1">#REF!</definedName>
    <definedName name="EPNT4KT2">#REF!</definedName>
    <definedName name="EPSPROT">#REF!</definedName>
    <definedName name="EPW2KKT1">#REF!</definedName>
    <definedName name="EPW2KKT2">#REF!</definedName>
    <definedName name="EUPName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[3]社員リスト!#REF!</definedName>
    <definedName name="fff">#REF!</definedName>
    <definedName name="ffff" hidden="1">{"'その他費用'!$B$3:$J$22"}</definedName>
    <definedName name="FILE1">#REF!</definedName>
    <definedName name="FILE10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E7">#REF!</definedName>
    <definedName name="FILE8">#REF!</definedName>
    <definedName name="FILE9">#REF!</definedName>
    <definedName name="g">#REF!</definedName>
    <definedName name="Grp_Select">[7]!Grp_Select</definedName>
    <definedName name="h">[12]処理機能記述!#REF!</definedName>
    <definedName name="ＨＡＮ">[2]参考!#REF!</definedName>
    <definedName name="HD10_4GB">[6]FT8000全製品!#REF!</definedName>
    <definedName name="HD10_9GB">[6]FT8000全製品!#REF!</definedName>
    <definedName name="HD11_9GB">[6]FT8000全製品!#REF!</definedName>
    <definedName name="HD12_4GB">[6]FT8000全製品!#REF!</definedName>
    <definedName name="HD12_9GB">[6]FT8000全製品!#REF!</definedName>
    <definedName name="HD13_18GB">[6]FT8000全製品!#REF!</definedName>
    <definedName name="HD13_9GB">[6]FT8000全製品!#REF!</definedName>
    <definedName name="HD14_18G">#REF!</definedName>
    <definedName name="HD14_9GB">[6]FT8000全製品!#REF!</definedName>
    <definedName name="HD15_18GB">[6]FT8000全製品!#REF!</definedName>
    <definedName name="HD15_9GB">[6]FT8000全製品!#REF!</definedName>
    <definedName name="HD16_4G">#REF!</definedName>
    <definedName name="HOSYO_EN">#REF!</definedName>
    <definedName name="HOSYO_EP">#REF!</definedName>
    <definedName name="HOSYO_KOSU">#REF!</definedName>
    <definedName name="HTML_CodePage" hidden="1">932</definedName>
    <definedName name="HTML_Control" hidden="1">{"'その他費用'!$B$3:$J$22"}</definedName>
    <definedName name="HTML_Control1" hidden="1">{"'その他費用'!$B$3:$J$22"}</definedName>
    <definedName name="HTML_Control2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F">#REF!</definedName>
    <definedName name="InterFace" hidden="1">{"'その他費用'!$B$3:$J$22"}</definedName>
    <definedName name="Job1Name">#REF!</definedName>
    <definedName name="Ｊ範囲">#REF!</definedName>
    <definedName name="K9_128MB">[6]FT8000全製品!#REF!</definedName>
    <definedName name="K9_256MB">[6]FT8000全製品!#REF!</definedName>
    <definedName name="KAI_EP">#REF!</definedName>
    <definedName name="KAI1_EP">#REF!</definedName>
    <definedName name="KAI2_EP">#REF!</definedName>
    <definedName name="KEISANKI_EN">#REF!</definedName>
    <definedName name="KEYS">#REF!</definedName>
    <definedName name="KEYSKEYS">#REF!</definedName>
    <definedName name="KIK1_EP">#REF!</definedName>
    <definedName name="KIK2_EP">#REF!</definedName>
    <definedName name="KOIUIKU_KOSU">#REF!</definedName>
    <definedName name="KOUIKU_EN">#REF!</definedName>
    <definedName name="kouzoku">#REF!</definedName>
    <definedName name="KTEXT">[4]RCP作業!$AA$1:$AA$65536</definedName>
    <definedName name="KYOUIKU_EP">#REF!</definedName>
    <definedName name="KYOUIKU_EP1">#REF!</definedName>
    <definedName name="lll">#REF!</definedName>
    <definedName name="LTXA1">[4]RCP作業!$AH$1:$AH$65536</definedName>
    <definedName name="Ｌ範囲">#REF!</definedName>
    <definedName name="M_データ入力">[13]!M_データ入力</definedName>
    <definedName name="M_メインメニュｰ表示">[13]!M_メインメニュｰ表示</definedName>
    <definedName name="M_奥行価格補正率">[13]!M_奥行価格補正率</definedName>
    <definedName name="MASTER_DB">'[14]POPCON Master'!$A$2:$N$5474</definedName>
    <definedName name="MC128MBL1">#REF!</definedName>
    <definedName name="MC1GBK9">#REF!</definedName>
    <definedName name="MC256MBK9">#REF!</definedName>
    <definedName name="MC256MBL1">#REF!</definedName>
    <definedName name="MC30KT">#REF!</definedName>
    <definedName name="MC512MBK9">#REF!</definedName>
    <definedName name="MC512MBL1">#REF!</definedName>
    <definedName name="MC84KB">#REF!</definedName>
    <definedName name="MC84MUS">#REF!</definedName>
    <definedName name="MC85CPUT1">#REF!</definedName>
    <definedName name="MC85CPUT2">#REF!</definedName>
    <definedName name="MC85CPUW1">#REF!</definedName>
    <definedName name="MC85CPUW2">#REF!</definedName>
    <definedName name="MC85W100">#REF!</definedName>
    <definedName name="MC86ACC1">#REF!</definedName>
    <definedName name="MC86ACC2">#REF!</definedName>
    <definedName name="MC86ACC3">#REF!</definedName>
    <definedName name="MC86KT">#REF!</definedName>
    <definedName name="MC86PA70">#REF!</definedName>
    <definedName name="MC86PB85">#REF!</definedName>
    <definedName name="MC86RCK">#REF!</definedName>
    <definedName name="MC86xxxxK">#REF!</definedName>
    <definedName name="MCA191AKT">#REF!</definedName>
    <definedName name="MCA19SKT">#REF!</definedName>
    <definedName name="MCCDRM01">#REF!</definedName>
    <definedName name="MCFDD01">#REF!</definedName>
    <definedName name="MCHD1610G">#REF!</definedName>
    <definedName name="MCHD179G">#REF!</definedName>
    <definedName name="MCHD1818G">#REF!</definedName>
    <definedName name="MCHD189G">#REF!</definedName>
    <definedName name="MCHD1918G">#REF!</definedName>
    <definedName name="MCHD1936G">#REF!</definedName>
    <definedName name="MCHD2018G">#REF!</definedName>
    <definedName name="MCHD209G">#REF!</definedName>
    <definedName name="MCHD2136G">#REF!</definedName>
    <definedName name="MCLANCEWOOD">#REF!</definedName>
    <definedName name="MCNT4KT1">#REF!</definedName>
    <definedName name="MCNT4KT2">#REF!</definedName>
    <definedName name="MCPW8">#REF!</definedName>
    <definedName name="MCPW8KT1">#REF!</definedName>
    <definedName name="MCSPROT">#REF!</definedName>
    <definedName name="MCTRM68SE">#REF!</definedName>
    <definedName name="MCW100KT">#REF!</definedName>
    <definedName name="MCW2KKT1">#REF!</definedName>
    <definedName name="MCW2KKT2">#REF!</definedName>
    <definedName name="MM">#REF!</definedName>
    <definedName name="NameJPN">"テキスト 116"</definedName>
    <definedName name="NAMES">#REF!</definedName>
    <definedName name="NEC_KEYS">#REF!</definedName>
    <definedName name="NET_KIK_EN">#REF!</definedName>
    <definedName name="NET_KIK_KOSU">#REF!</definedName>
    <definedName name="NET_KIK_KOSU1">#REF!</definedName>
    <definedName name="NET_KOU_EN">#REF!</definedName>
    <definedName name="NET_KOU_KOSU">#REF!</definedName>
    <definedName name="NET_SEK_EN">#REF!</definedName>
    <definedName name="NET_SEK_KOSU">#REF!</definedName>
    <definedName name="NEWDATE">#REF!</definedName>
    <definedName name="NGCPUT1">#REF!</definedName>
    <definedName name="NGHD2018G">#REF!</definedName>
    <definedName name="NGHD209G">#REF!</definedName>
    <definedName name="NGHD2136G">#REF!</definedName>
    <definedName name="NGNT4KT2">#REF!</definedName>
    <definedName name="NGSPROT">#REF!</definedName>
    <definedName name="NGW2KKT2">#REF!</definedName>
    <definedName name="nishi">#REF!</definedName>
    <definedName name="PASS1">#REF!</definedName>
    <definedName name="PASS2">#REF!</definedName>
    <definedName name="PASS3">#REF!</definedName>
    <definedName name="PASS4">#REF!</definedName>
    <definedName name="PGMID">#REF!</definedName>
    <definedName name="PGMName">"テキスト 114"</definedName>
    <definedName name="PHFLG">[4]RCP作業!$AC$1:$AC$65536</definedName>
    <definedName name="PHSEQ">[4]RCP作業!$AE$1:$AE$65536</definedName>
    <definedName name="PLNAL">[4]RCP作業!$I$1:$I$65536</definedName>
    <definedName name="PLNME">[4]RCP作業!$P$1:$P$65536</definedName>
    <definedName name="PLNNR">[4]RCP作業!$F$1:$F$65536</definedName>
    <definedName name="Prepared_by">#REF!</definedName>
    <definedName name="_xlnm.Print_Area" localSheetId="6">Other!$A$1:$U$46</definedName>
    <definedName name="_xlnm.Print_Area" localSheetId="1">'Over view'!$A$1:$U$53</definedName>
    <definedName name="_xlnm.Print_Area">#REF!</definedName>
    <definedName name="PROFIDNETZ">[4]RCP作業!$J$1:$J$65536</definedName>
    <definedName name="PVZNR">[4]RCP作業!$AD$1:$AD$65536</definedName>
    <definedName name="PW8_KT">[6]FT8000全製品!#REF!</definedName>
    <definedName name="qq">[13]!qq</definedName>
    <definedName name="qqqqqqq">#REF!</definedName>
    <definedName name="R_A">#REF!</definedName>
    <definedName name="R_AA">#REF!</definedName>
    <definedName name="R_AV">#REF!</definedName>
    <definedName name="R_AV1">#REF!</definedName>
    <definedName name="R_B">#REF!</definedName>
    <definedName name="R_B1">#REF!</definedName>
    <definedName name="R_BB">#REF!</definedName>
    <definedName name="R_C">#REF!</definedName>
    <definedName name="R_C1">#REF!</definedName>
    <definedName name="R_CC">#REF!</definedName>
    <definedName name="R_CC1">#REF!</definedName>
    <definedName name="R_S">#REF!</definedName>
    <definedName name="R_S1">#REF!</definedName>
    <definedName name="rate00s">[15]単価!$K$13</definedName>
    <definedName name="rate01k">[15]単価!$K$16</definedName>
    <definedName name="rate01s">[15]単価!$K$19</definedName>
    <definedName name="rate02k">[15]単価!$K$22</definedName>
    <definedName name="_xlnm.Recorder">#REF!</definedName>
    <definedName name="RR" hidden="1">{"'その他費用'!$B$3:$J$22"}</definedName>
    <definedName name="RYOHI_EN">#REF!</definedName>
    <definedName name="RYOHI_EN1">#REF!</definedName>
    <definedName name="ｓ">#REF!</definedName>
    <definedName name="SAPToolbarName">#REF!</definedName>
    <definedName name="Save_DD">[10]!Save_DD</definedName>
    <definedName name="Save_DFEDIT">[7]!Save_DFEDIT</definedName>
    <definedName name="ｓｄ">#REF!</definedName>
    <definedName name="SE">#REF!</definedName>
    <definedName name="SEK1_EP">#REF!</definedName>
    <definedName name="SEK1_EP1">#REF!</definedName>
    <definedName name="SEK2_EP">#REF!</definedName>
    <definedName name="SEK2_EP1">#REF!</definedName>
    <definedName name="Select_ACat1">[16]!Select_ACat1</definedName>
    <definedName name="Select_ACat2">[16]!Select_ACat2</definedName>
    <definedName name="Select_ACat3">[16]!Select_ACat3</definedName>
    <definedName name="Select_Cat1">[17]!Select_Cat1</definedName>
    <definedName name="Select_Cat2">[17]!Select_Cat2</definedName>
    <definedName name="Select_Cat3">[17]!Select_Cat3</definedName>
    <definedName name="Select_CCat1">[18]!Select_CCat1</definedName>
    <definedName name="Select_CCat2">[18]!Select_CCat2</definedName>
    <definedName name="Select_CCat3">[18]!Select_CCat3</definedName>
    <definedName name="Select_FCat1">[16]!Select_FCat1</definedName>
    <definedName name="Select_FCat2">[16]!Select_FCat2</definedName>
    <definedName name="Select_FCat3">[16]!Select_FCat3</definedName>
    <definedName name="Select_OCat1">[16]!Select_OCat1</definedName>
    <definedName name="Select_OCat2">[16]!Select_OCat2</definedName>
    <definedName name="Select_OCat3">[16]!Select_OCat3</definedName>
    <definedName name="Select_RefAct">[17]!Select_RefAct</definedName>
    <definedName name="Select_RefAct1">[16]!Select_RefAct1</definedName>
    <definedName name="Select_RefAct2">[16]!Select_RefAct2</definedName>
    <definedName name="Select_RefAct3">[16]!Select_RefAct3</definedName>
    <definedName name="Select_RefEve">[18]!Select_RefEve</definedName>
    <definedName name="Select_RefGamen">[18]!Select_RefGamen</definedName>
    <definedName name="Select_RefObj">[18]!Select_RefObj</definedName>
    <definedName name="Select_RefObj1">[16]!Select_RefObj1</definedName>
    <definedName name="Select_RefObj2">[16]!Select_RefObj2</definedName>
    <definedName name="Select_RefOitm">[17]!Select_RefOitm</definedName>
    <definedName name="Select_RefOpe1">[18]!Select_RefOpe1</definedName>
    <definedName name="Select_RefOpe2">[18]!Select_RefOpe2</definedName>
    <definedName name="Select_RefOpe3">[18]!Select_RefOpe3</definedName>
    <definedName name="Select_RefTbl">[17]!Select_RefTbl</definedName>
    <definedName name="Select_RefTblI">[19]!Select_RefTblI</definedName>
    <definedName name="Select_TBL">[20]!Select_TBL</definedName>
    <definedName name="SelFileGExp">[17]!SelFileGExp</definedName>
    <definedName name="SelFileTblExp">[19]!SelFileTblExp</definedName>
    <definedName name="shuukei">[21]!shuukei</definedName>
    <definedName name="shuukei_sheet">[21]!shuukei_sheet</definedName>
    <definedName name="SONOTA_EN">#REF!</definedName>
    <definedName name="SONOTA_EN1">#REF!</definedName>
    <definedName name="ｓｓ">[13]!ｓｓ</definedName>
    <definedName name="STEUS">[4]RCP作業!$AG$1:$AG$65536</definedName>
    <definedName name="STLAL">[4]RCP作業!$T$1:$T$65536</definedName>
    <definedName name="STLAN">[4]RCP作業!$U$1:$U$65536</definedName>
    <definedName name="ＳＴＳ">[22]ﾘｽﾄ!$A$1:$A$3</definedName>
    <definedName name="SWTBL">#REF!</definedName>
    <definedName name="SYMBOL">#REF!</definedName>
    <definedName name="tbl">#REF!</definedName>
    <definedName name="TBL_KEYS">#REF!</definedName>
    <definedName name="TBL_KEYS2">#REF!</definedName>
    <definedName name="TCA">#REF!</definedName>
    <definedName name="TCAA">#REF!</definedName>
    <definedName name="TCB">#REF!</definedName>
    <definedName name="TCBB">#REF!</definedName>
    <definedName name="TCC">#REF!</definedName>
    <definedName name="TCCC">#REF!</definedName>
    <definedName name="TCS">#REF!</definedName>
    <definedName name="TCSP">#REF!</definedName>
    <definedName name="test">#REF!</definedName>
    <definedName name="TITLE">[23]仕上チェック機能!#REF!</definedName>
    <definedName name="TR_A">#REF!</definedName>
    <definedName name="TR_AA">#REF!</definedName>
    <definedName name="TR_AV">#REF!</definedName>
    <definedName name="TR_BB">#REF!</definedName>
    <definedName name="TR_BBB">#REF!</definedName>
    <definedName name="TR_C">#REF!</definedName>
    <definedName name="TR_CC">#REF!</definedName>
    <definedName name="TR_S">'[24]#REF'!#REF!</definedName>
    <definedName name="Update_Act">[16]!Update_Act</definedName>
    <definedName name="Update_Flow">[16]!Update_Flow</definedName>
    <definedName name="Update_Gamen">[17]!Update_Gamen</definedName>
    <definedName name="Update_Layer">[16]!Update_Layer</definedName>
    <definedName name="Update_Obj">[16]!Update_Obj</definedName>
    <definedName name="Update_Table">[19]!Update_Table</definedName>
    <definedName name="VERID">[4]RCP作業!$Q$1:$Q$65536</definedName>
    <definedName name="VORNR">[4]RCP作業!$AB$1:$AB$65536</definedName>
    <definedName name="WERKS">[4]RCP作業!$G$1:$G$65536</definedName>
    <definedName name="Z_07BCEF14_CC63_4612_944A_AC0185AB2E88_.wvu.PrintArea" localSheetId="4" hidden="1">ADVICS!$A$1:$U$52</definedName>
    <definedName name="Z_07BCEF14_CC63_4612_944A_AC0185AB2E88_.wvu.PrintArea" localSheetId="0" hidden="1">Data!$A$64:$AH$88</definedName>
    <definedName name="Z_07BCEF14_CC63_4612_944A_AC0185AB2E88_.wvu.PrintArea" localSheetId="6" hidden="1">Other!$A$1:$U$46</definedName>
    <definedName name="Z_07BCEF14_CC63_4612_944A_AC0185AB2E88_.wvu.PrintArea" localSheetId="1" hidden="1">'Over view'!$A$1:$U$53</definedName>
    <definedName name="Z_07BCEF14_CC63_4612_944A_AC0185AB2E88_.wvu.PrintArea" localSheetId="3" hidden="1">PRB!$A$1:$U$52</definedName>
    <definedName name="Z_07BCEF14_CC63_4612_944A_AC0185AB2E88_.wvu.PrintArea" localSheetId="5" hidden="1">'TAP-C'!$A$1:$U$52</definedName>
    <definedName name="Z_07BCEF14_CC63_4612_944A_AC0185AB2E88_.wvu.PrintArea" localSheetId="2" hidden="1">WD!$A$1:$U$52</definedName>
    <definedName name="Z_07BCEF14_CC63_4612_944A_AC0185AB2E88_.wvu.Rows" localSheetId="0" hidden="1">Data!$28:$31</definedName>
    <definedName name="Z_66AFB582_7B54_468D_8A7C_50BF887A773A_.wvu.Cols" localSheetId="0" hidden="1">Data!$AR:$AR</definedName>
    <definedName name="Z_66AFB582_7B54_468D_8A7C_50BF887A773A_.wvu.PrintArea" localSheetId="4" hidden="1">ADVICS!$A$1:$U$52</definedName>
    <definedName name="Z_66AFB582_7B54_468D_8A7C_50BF887A773A_.wvu.PrintArea" localSheetId="0" hidden="1">Data!$A$1:$AD$89</definedName>
    <definedName name="Z_66AFB582_7B54_468D_8A7C_50BF887A773A_.wvu.PrintArea" localSheetId="6" hidden="1">Other!$A$1:$U$46</definedName>
    <definedName name="Z_66AFB582_7B54_468D_8A7C_50BF887A773A_.wvu.PrintArea" localSheetId="1" hidden="1">'Over view'!$A$1:$U$53</definedName>
    <definedName name="Z_66AFB582_7B54_468D_8A7C_50BF887A773A_.wvu.PrintArea" localSheetId="3" hidden="1">PRB!$A$1:$U$52</definedName>
    <definedName name="Z_66AFB582_7B54_468D_8A7C_50BF887A773A_.wvu.PrintArea" localSheetId="5" hidden="1">'TAP-C'!$A$1:$U$52</definedName>
    <definedName name="Z_66AFB582_7B54_468D_8A7C_50BF887A773A_.wvu.PrintArea" localSheetId="2" hidden="1">WD!$A$1:$U$52</definedName>
    <definedName name="Z_D1F74CB4_7825_4582_901A_8EDF4E0982B1_.wvu.PrintArea" localSheetId="4" hidden="1">ADVICS!$A$1:$U$52</definedName>
    <definedName name="Z_D1F74CB4_7825_4582_901A_8EDF4E0982B1_.wvu.PrintArea" localSheetId="6" hidden="1">Other!$A$1:$U$46</definedName>
    <definedName name="Z_D1F74CB4_7825_4582_901A_8EDF4E0982B1_.wvu.PrintArea" localSheetId="1" hidden="1">'Over view'!$A$1:$U$53</definedName>
    <definedName name="Z_D1F74CB4_7825_4582_901A_8EDF4E0982B1_.wvu.PrintArea" localSheetId="3" hidden="1">PRB!$A$1:$U$52</definedName>
    <definedName name="Z_D1F74CB4_7825_4582_901A_8EDF4E0982B1_.wvu.PrintArea" localSheetId="5" hidden="1">'TAP-C'!$A$1:$U$52</definedName>
    <definedName name="Z_D1F74CB4_7825_4582_901A_8EDF4E0982B1_.wvu.PrintArea" localSheetId="2" hidden="1">WD!$A$1:$U$52</definedName>
    <definedName name="あ５００">#REF!</definedName>
    <definedName name="アドオン" hidden="1">{"'その他費用'!$B$3:$J$22"}</definedName>
    <definedName name="ｱﾙﾌﾞﾐﾝ_20">[2]参考!#REF!</definedName>
    <definedName name="ｵﾌﾞｼﾞｪｸﾄID">[25]表紙!$D$4</definedName>
    <definedName name="ｵﾌﾞｼﾞｪｸﾄﾀｲﾌﾟ">[25]表紙!$D$3</definedName>
    <definedName name="ｵﾌﾞｼﾞｪｸﾄ名称">[25]表紙!$D$5</definedName>
    <definedName name="こ" hidden="1">{"'その他費用'!$B$3:$J$22"}</definedName>
    <definedName name="システム名">[25]表紙!$D$2</definedName>
    <definedName name="テーブルレイアウト作成">#REF!</definedName>
    <definedName name="テーブル一覧（システムテーブル除く）">#REF!</definedName>
    <definedName name="プログラムＩＤ">#REF!</definedName>
    <definedName name="プログラム名称">#REF!</definedName>
    <definedName name="ロジックチャート">[13]!ロジックチャート</definedName>
    <definedName name="人口">#REF!</definedName>
    <definedName name="作成日">[25]表紙!$F$4</definedName>
    <definedName name="作成者">[25]表紙!$F$5</definedName>
    <definedName name="値引限度COSMO">#REF!</definedName>
    <definedName name="値引限度EX8">#REF!</definedName>
    <definedName name="値引限度EX900">#REF!</definedName>
    <definedName name="値引限度EX900_共用">#REF!</definedName>
    <definedName name="値引限度ICS">#REF!</definedName>
    <definedName name="値引限度M70">#REF!</definedName>
    <definedName name="値引限度MX">#REF!</definedName>
    <definedName name="値引限度ｵﾌｺﾝ16ﾋﾞｯﾄ">#REF!</definedName>
    <definedName name="値引限度ｵﾌｺﾝ32ﾋﾞｯﾄ">#REF!</definedName>
    <definedName name="側方影響加算率設定1">[13]!側方影響加算率設定1</definedName>
    <definedName name="側方影響加算率設定2">[13]!側方影響加算率設定2</definedName>
    <definedName name="先月クエリ略称">[26]パラメータ!#REF!</definedName>
    <definedName name="全体集計">[27]!全体集計</definedName>
    <definedName name="共通">#REF!</definedName>
    <definedName name="共通０１">#REF!</definedName>
    <definedName name="印刷">[28]!印刷</definedName>
    <definedName name="印刷用">[29]レポートレイアウト!#REF!</definedName>
    <definedName name="印刷用紙方向">[26]パラメータ!#REF!</definedName>
    <definedName name="名前">[2]参考!#REF!</definedName>
    <definedName name="回答">#REF!</definedName>
    <definedName name="回答ＷＣCOSMO">#REF!</definedName>
    <definedName name="回答ＷＣEX8">#REF!</definedName>
    <definedName name="回答ＷＣEX900">#REF!</definedName>
    <definedName name="回答ＷＣEX900_共用">#REF!</definedName>
    <definedName name="回答ＷＣICS">#REF!</definedName>
    <definedName name="回答ＷＣM70">#REF!</definedName>
    <definedName name="回答ＷＣMX">#REF!</definedName>
    <definedName name="回答ＷＣｵﾌｺﾝ16ﾋﾞｯﾄ">#REF!</definedName>
    <definedName name="回答ＷＣｵﾌｺﾝ32ﾋﾞｯﾄ">#REF!</definedName>
    <definedName name="基礎">#REF!</definedName>
    <definedName name="変更">IF([30]勤務体系!#REF!="日勤（Ａ）",52,45)</definedName>
    <definedName name="変更分">IF([30]勤務体系!#REF!="日勤（Ａ）",52,45)</definedName>
    <definedName name="工管費比率">[31]仕切り率!$L$1</definedName>
    <definedName name="帳票">#REF!</definedName>
    <definedName name="店舗DF_KEYS">#REF!</definedName>
    <definedName name="当月クエリ略称">[26]パラメータ!#REF!</definedName>
    <definedName name="承認日">#REF!</definedName>
    <definedName name="承認者">#REF!</definedName>
    <definedName name="普通休日日数">IF(#REF!="日勤（Ａ）",52,45)</definedName>
    <definedName name="更新">#REF!</definedName>
    <definedName name="検索">#REF!</definedName>
    <definedName name="機能">#REF!</definedName>
    <definedName name="機能名称">#REF!</definedName>
    <definedName name="決算年月変更">[13]!決算年月変更</definedName>
    <definedName name="物流DF_KEYS">#REF!</definedName>
    <definedName name="番号">[32]型TB!#REF!</definedName>
    <definedName name="相談回答_クエリー1">#REF!</definedName>
    <definedName name="石川">[2]参考!#REF!</definedName>
    <definedName name="石川Ａ">[2]X!$H$4:$H$11,[2]X!$L$4:$L$11</definedName>
    <definedName name="移行">#REF!</definedName>
    <definedName name="移行２">#REF!</definedName>
    <definedName name="移行３">#REF!</definedName>
    <definedName name="移行４">#REF!</definedName>
    <definedName name="表題セル位置">[26]パラメータ!#REF!</definedName>
    <definedName name="見積ＷＣCOSMO">#REF!</definedName>
    <definedName name="見積ＷＣEX8">#REF!</definedName>
    <definedName name="見積ＷＣEX900">#REF!</definedName>
    <definedName name="見積ＷＣEX900_共用">#REF!</definedName>
    <definedName name="見積ＷＣICS">#REF!</definedName>
    <definedName name="見積ＷＣM70">#REF!</definedName>
    <definedName name="見積ＷＣMX">#REF!</definedName>
    <definedName name="見積ＷＣｵﾌｺﾝ16ﾋﾞｯﾄ">#REF!</definedName>
    <definedName name="見積ＷＣｵﾌｺﾝ32ﾋﾞｯﾄ">#REF!</definedName>
    <definedName name="記入日範囲">#REF!</definedName>
    <definedName name="設品費比率">[31]仕切り率!$L$2</definedName>
    <definedName name="身上">#REF!</definedName>
    <definedName name="通番セル位置">[26]パラメータ!#REF!</definedName>
  </definedNames>
  <calcPr calcId="191029"/>
  <customWorkbookViews>
    <customWorkbookView name="Pratumtip  Ritdej - Personal View" guid="{07BCEF14-CC63-4612-944A-AC0185AB2E88}" mergeInterval="0" personalView="1" maximized="1" xWindow="1" yWindow="1" windowWidth="1276" windowHeight="710" activeSheetId="2"/>
    <customWorkbookView name="Onuma - Personal View" guid="{66AFB582-7B54-468D-8A7C-50BF887A773A}" mergeInterval="0" personalView="1" maximized="1" xWindow="1" yWindow="1" windowWidth="1276" windowHeight="803" tabRatio="453" activeSheetId="7"/>
    <customWorkbookView name="PC - Personal View" guid="{F7F84A38-4158-4C4A-A942-BF83A3B657DF}" mergeInterval="0" personalView="1" maximized="1" xWindow="1" yWindow="1" windowWidth="1148" windowHeight="643" activeSheetId="1"/>
    <customWorkbookView name="terashita - 個人用ビュー" guid="{84B8FD1C-2A55-4CF3-973E-E61A492F04B9}" mergeInterval="0" personalView="1" maximized="1" windowWidth="1276" windowHeight="546" activeSheetId="1"/>
    <customWorkbookView name="Nualsawas - Personal View" guid="{6C4883DD-D715-42DB-8153-37394B7FA2EC}" mergeInterval="0" personalView="1" maximized="1" windowWidth="1276" windowHeight="825" activeSheetId="1"/>
    <customWorkbookView name="P - Personal View" guid="{99304FE7-9907-4177-8DBE-FCD66650B890}" mergeInterval="0" personalView="1" maximized="1" xWindow="1" yWindow="1" windowWidth="1024" windowHeight="525" activeSheetId="5"/>
    <customWorkbookView name="jureerat - Personal View" guid="{D1F74CB4-7825-4582-901A-8EDF4E0982B1}" mergeInterval="0" personalView="1" maximized="1" xWindow="1" yWindow="1" windowWidth="1276" windowHeight="794" activeSheetId="1"/>
    <customWorkbookView name="wimonphan - Personal View" guid="{48BA4D48-0183-4ACA-AFD3-2C9046683193}" mergeInterval="0" personalView="1" maximized="1" xWindow="1" yWindow="1" windowWidth="1276" windowHeight="7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1" i="1" l="1"/>
  <c r="AH47" i="1"/>
  <c r="AH35" i="1"/>
  <c r="AI62" i="1"/>
  <c r="AG51" i="1" l="1"/>
  <c r="AG68" i="1" l="1"/>
  <c r="AH92" i="1"/>
  <c r="AG72" i="1"/>
  <c r="AG80" i="1"/>
  <c r="AG84" i="1"/>
  <c r="R34" i="1"/>
  <c r="AF80" i="1" l="1"/>
  <c r="AF84" i="1"/>
  <c r="AC72" i="1"/>
  <c r="AD72" i="1"/>
  <c r="AE72" i="1"/>
  <c r="AC80" i="1"/>
  <c r="AD80" i="1"/>
  <c r="AE80" i="1"/>
  <c r="AC84" i="1"/>
  <c r="AD84" i="1"/>
  <c r="AE84" i="1"/>
  <c r="AF34" i="1"/>
  <c r="AF46" i="1"/>
  <c r="AF50" i="1"/>
  <c r="AB72" i="1"/>
  <c r="AB80" i="1"/>
  <c r="AB84" i="1"/>
  <c r="AA72" i="1"/>
  <c r="AA80" i="1"/>
  <c r="AA84" i="1"/>
  <c r="AB42" i="1"/>
  <c r="Z80" i="1"/>
  <c r="Z84" i="1"/>
  <c r="P19" i="1"/>
  <c r="Y72" i="1" l="1"/>
  <c r="Y80" i="1"/>
  <c r="Y84" i="1"/>
  <c r="Z38" i="1"/>
  <c r="V72" i="1" l="1"/>
  <c r="W72" i="1"/>
  <c r="X72" i="1"/>
  <c r="V80" i="1"/>
  <c r="W80" i="1"/>
  <c r="X80" i="1"/>
  <c r="V84" i="1"/>
  <c r="W84" i="1"/>
  <c r="X84" i="1"/>
  <c r="Y46" i="1"/>
  <c r="Y34" i="1"/>
  <c r="Y50" i="1"/>
  <c r="V38" i="1"/>
  <c r="Y42" i="1"/>
  <c r="U72" i="1"/>
  <c r="U80" i="1"/>
  <c r="U84" i="1"/>
  <c r="T72" i="1"/>
  <c r="T80" i="1"/>
  <c r="T84" i="1"/>
  <c r="S80" i="1"/>
  <c r="S84" i="1"/>
  <c r="U30" i="1"/>
  <c r="R84" i="1"/>
  <c r="R80" i="1"/>
  <c r="R72" i="1"/>
  <c r="T30" i="1" l="1"/>
  <c r="S30" i="1"/>
  <c r="Q97" i="1"/>
  <c r="P97" i="1"/>
  <c r="O97" i="1"/>
  <c r="K74" i="1"/>
  <c r="O72" i="1" l="1"/>
  <c r="P72" i="1"/>
  <c r="Q72" i="1"/>
  <c r="O80" i="1"/>
  <c r="P80" i="1"/>
  <c r="Q80" i="1"/>
  <c r="O84" i="1"/>
  <c r="P84" i="1"/>
  <c r="Q84" i="1"/>
  <c r="N67" i="1"/>
  <c r="N72" i="1"/>
  <c r="N76" i="1"/>
  <c r="N80" i="1"/>
  <c r="N84" i="1"/>
  <c r="R42" i="1"/>
  <c r="R46" i="1"/>
  <c r="R38" i="1"/>
  <c r="R30" i="1"/>
  <c r="R50" i="1"/>
  <c r="N38" i="1"/>
  <c r="N30" i="1"/>
  <c r="M30" i="1"/>
  <c r="L30" i="1"/>
  <c r="D67" i="1"/>
  <c r="E67" i="1"/>
  <c r="F67" i="1"/>
  <c r="G67" i="1"/>
  <c r="H67" i="1"/>
  <c r="I67" i="1"/>
  <c r="J67" i="1"/>
  <c r="K67" i="1"/>
  <c r="D72" i="1"/>
  <c r="E72" i="1"/>
  <c r="F72" i="1"/>
  <c r="G72" i="1"/>
  <c r="H72" i="1"/>
  <c r="I72" i="1"/>
  <c r="J72" i="1"/>
  <c r="K72" i="1"/>
  <c r="L72" i="1"/>
  <c r="D76" i="1"/>
  <c r="E76" i="1"/>
  <c r="F76" i="1"/>
  <c r="G76" i="1"/>
  <c r="H76" i="1"/>
  <c r="I76" i="1"/>
  <c r="I88" i="1" s="1"/>
  <c r="J76" i="1"/>
  <c r="J88" i="1" s="1"/>
  <c r="K76" i="1"/>
  <c r="L76" i="1"/>
  <c r="M76" i="1"/>
  <c r="D80" i="1"/>
  <c r="E80" i="1"/>
  <c r="F80" i="1"/>
  <c r="G80" i="1"/>
  <c r="H80" i="1"/>
  <c r="I80" i="1"/>
  <c r="J80" i="1"/>
  <c r="K80" i="1"/>
  <c r="L80" i="1"/>
  <c r="M80" i="1"/>
  <c r="D84" i="1"/>
  <c r="E84" i="1"/>
  <c r="F84" i="1"/>
  <c r="G84" i="1"/>
  <c r="H84" i="1"/>
  <c r="I84" i="1"/>
  <c r="J84" i="1"/>
  <c r="K84" i="1"/>
  <c r="L84" i="1"/>
  <c r="M84" i="1"/>
  <c r="K88" i="1"/>
  <c r="Q75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C90" i="1"/>
  <c r="N88" i="1" l="1"/>
  <c r="H88" i="1"/>
  <c r="G88" i="1"/>
  <c r="F88" i="1"/>
  <c r="E88" i="1"/>
  <c r="D88" i="1"/>
  <c r="C7" i="1"/>
  <c r="K42" i="1" l="1"/>
  <c r="K46" i="1" l="1"/>
  <c r="K38" i="1"/>
  <c r="K30" i="1"/>
  <c r="K34" i="1"/>
  <c r="K50" i="1"/>
  <c r="H30" i="1"/>
  <c r="G30" i="1"/>
  <c r="F38" i="1"/>
  <c r="F34" i="1"/>
  <c r="F50" i="1" l="1"/>
  <c r="F30" i="1"/>
  <c r="D46" i="1"/>
  <c r="C57" i="1"/>
  <c r="C58" i="1" s="1"/>
  <c r="D59" i="1"/>
  <c r="D60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C59" i="1"/>
  <c r="C92" i="1"/>
  <c r="D92" i="1" s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C52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C44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C40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C36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C32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C28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C24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C20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C16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C12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C8" i="1"/>
  <c r="AK96" i="1" l="1"/>
  <c r="Z10" i="1" l="1"/>
  <c r="S10" i="1"/>
  <c r="S18" i="1"/>
  <c r="S14" i="1"/>
  <c r="AN101" i="1" l="1"/>
  <c r="AN100" i="1"/>
  <c r="AL85" i="1" l="1"/>
  <c r="AN98" i="1" s="1"/>
  <c r="C25" i="1" l="1"/>
  <c r="AE10" i="1"/>
  <c r="AF10" i="1"/>
  <c r="AG10" i="1"/>
  <c r="AE14" i="1"/>
  <c r="AF14" i="1"/>
  <c r="AG14" i="1"/>
  <c r="AE18" i="1"/>
  <c r="AF18" i="1"/>
  <c r="AG18" i="1"/>
  <c r="D25" i="1" l="1"/>
  <c r="C21" i="1"/>
  <c r="O3" i="2" l="1"/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M18" i="1" l="1"/>
  <c r="AB18" i="1" l="1"/>
  <c r="AC99" i="1" l="1"/>
  <c r="AD99" i="1"/>
  <c r="AE99" i="1"/>
  <c r="AF99" i="1"/>
  <c r="AM94" i="1" l="1"/>
  <c r="C41" i="1" l="1"/>
  <c r="D41" i="1" s="1"/>
  <c r="AN104" i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E41" i="1" l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N115" i="1"/>
  <c r="AA10" i="1" l="1"/>
  <c r="AB10" i="1"/>
  <c r="AB14" i="1"/>
  <c r="F10" i="1"/>
  <c r="P10" i="1" l="1"/>
  <c r="P3" i="7" l="1"/>
  <c r="P3" i="6"/>
  <c r="P3" i="5"/>
  <c r="Q4" i="4"/>
  <c r="P7" i="3"/>
  <c r="C94" i="1" l="1"/>
  <c r="D94" i="1" s="1"/>
  <c r="E94" i="1" l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AB57" i="1"/>
  <c r="AE57" i="1"/>
  <c r="AF57" i="1"/>
  <c r="AG57" i="1"/>
  <c r="Z94" i="1" l="1"/>
  <c r="AA94" i="1" s="1"/>
  <c r="AB94" i="1" s="1"/>
  <c r="AC94" i="1" s="1"/>
  <c r="AD94" i="1" s="1"/>
  <c r="AE94" i="1" s="1"/>
  <c r="AF94" i="1" s="1"/>
  <c r="AG94" i="1" s="1"/>
  <c r="AG61" i="1"/>
  <c r="AC57" i="1"/>
  <c r="AD57" i="1"/>
  <c r="C18" i="1" l="1"/>
  <c r="D18" i="1"/>
  <c r="Z18" i="1" l="1"/>
  <c r="Z3" i="1" l="1"/>
  <c r="C96" i="1"/>
  <c r="N18" i="1" l="1"/>
  <c r="O18" i="1"/>
  <c r="O3" i="1" s="1"/>
  <c r="AA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3" i="1"/>
  <c r="C55" i="1"/>
  <c r="D55" i="1" s="1"/>
  <c r="E55" i="1" s="1"/>
  <c r="F55" i="1" s="1"/>
  <c r="G55" i="1" s="1"/>
  <c r="H55" i="1" l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5" i="1" l="1"/>
  <c r="AH54" i="1"/>
  <c r="U18" i="1"/>
  <c r="AN103" i="1" l="1"/>
  <c r="AN102" i="1"/>
  <c r="AE61" i="1"/>
  <c r="C60" i="1" l="1"/>
  <c r="C66" i="1" s="1"/>
  <c r="D66" i="1" l="1"/>
  <c r="E60" i="1"/>
  <c r="E66" i="1" s="1"/>
  <c r="F60" i="1" l="1"/>
  <c r="F66" i="1" s="1"/>
  <c r="AC18" i="1"/>
  <c r="AD18" i="1"/>
  <c r="G60" i="1" l="1"/>
  <c r="G66" i="1" s="1"/>
  <c r="C107" i="1"/>
  <c r="H60" i="1" l="1"/>
  <c r="H66" i="1" s="1"/>
  <c r="AB99" i="1"/>
  <c r="AA99" i="1"/>
  <c r="Z100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I60" i="1" l="1"/>
  <c r="I66" i="1" s="1"/>
  <c r="J60" i="1" l="1"/>
  <c r="J66" i="1" s="1"/>
  <c r="K60" i="1" l="1"/>
  <c r="K66" i="1" s="1"/>
  <c r="AL87" i="1"/>
  <c r="AN99" i="1" s="1"/>
  <c r="AN105" i="1" l="1"/>
  <c r="L60" i="1"/>
  <c r="L66" i="1" s="1"/>
  <c r="E92" i="1"/>
  <c r="F92" i="1" s="1"/>
  <c r="G92" i="1" s="1"/>
  <c r="H92" i="1" s="1"/>
  <c r="I92" i="1" s="1"/>
  <c r="J92" i="1" s="1"/>
  <c r="D96" i="1"/>
  <c r="E96" i="1" s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C97" i="1" l="1"/>
  <c r="M60" i="1"/>
  <c r="M66" i="1" s="1"/>
  <c r="K92" i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U96" i="1"/>
  <c r="V96" i="1" s="1"/>
  <c r="W96" i="1" s="1"/>
  <c r="X96" i="1" s="1"/>
  <c r="Y96" i="1" s="1"/>
  <c r="Z96" i="1" l="1"/>
  <c r="Z98" i="1" s="1"/>
  <c r="Y97" i="1"/>
  <c r="N60" i="1"/>
  <c r="N66" i="1" s="1"/>
  <c r="AE92" i="1"/>
  <c r="AF92" i="1" s="1"/>
  <c r="AA96" i="1" l="1"/>
  <c r="AB96" i="1" s="1"/>
  <c r="AC96" i="1" s="1"/>
  <c r="AD96" i="1" s="1"/>
  <c r="AE96" i="1" s="1"/>
  <c r="AF96" i="1" s="1"/>
  <c r="AK101" i="1" s="1"/>
  <c r="AG92" i="1"/>
  <c r="O60" i="1"/>
  <c r="O66" i="1" s="1"/>
  <c r="C35" i="1"/>
  <c r="D35" i="1" s="1"/>
  <c r="C49" i="1"/>
  <c r="C79" i="1" s="1"/>
  <c r="C29" i="1"/>
  <c r="D29" i="1" s="1"/>
  <c r="C17" i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J10" i="1"/>
  <c r="T18" i="1"/>
  <c r="C37" i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C39" i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L10" i="1"/>
  <c r="S97" i="1"/>
  <c r="R97" i="1"/>
  <c r="C23" i="1"/>
  <c r="D107" i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AA107" i="1" s="1"/>
  <c r="AB107" i="1" s="1"/>
  <c r="AC107" i="1" s="1"/>
  <c r="AD107" i="1" s="1"/>
  <c r="AE107" i="1" s="1"/>
  <c r="AF107" i="1" s="1"/>
  <c r="AG107" i="1" s="1"/>
  <c r="Y18" i="1"/>
  <c r="Q18" i="1"/>
  <c r="V10" i="1"/>
  <c r="W10" i="1"/>
  <c r="X10" i="1"/>
  <c r="Y10" i="1"/>
  <c r="AC10" i="1"/>
  <c r="AD10" i="1"/>
  <c r="E10" i="1"/>
  <c r="G10" i="1"/>
  <c r="H10" i="1"/>
  <c r="I10" i="1"/>
  <c r="K10" i="1"/>
  <c r="M10" i="1"/>
  <c r="N10" i="1"/>
  <c r="O10" i="1"/>
  <c r="Q10" i="1"/>
  <c r="T10" i="1"/>
  <c r="U10" i="1"/>
  <c r="D10" i="1"/>
  <c r="C10" i="1"/>
  <c r="P18" i="1"/>
  <c r="C47" i="1"/>
  <c r="C84" i="1" s="1"/>
  <c r="C51" i="1"/>
  <c r="D51" i="1" s="1"/>
  <c r="U14" i="1"/>
  <c r="C33" i="1"/>
  <c r="D33" i="1" s="1"/>
  <c r="E33" i="1" s="1"/>
  <c r="D7" i="1"/>
  <c r="G18" i="1"/>
  <c r="C14" i="1"/>
  <c r="C15" i="1" s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T14" i="1"/>
  <c r="V14" i="1"/>
  <c r="W14" i="1"/>
  <c r="X14" i="1"/>
  <c r="Y14" i="1"/>
  <c r="Z14" i="1"/>
  <c r="Z4" i="1" s="1"/>
  <c r="AA14" i="1"/>
  <c r="AA4" i="1" s="1"/>
  <c r="AC14" i="1"/>
  <c r="AD14" i="1"/>
  <c r="E18" i="1"/>
  <c r="F18" i="1"/>
  <c r="H18" i="1"/>
  <c r="I18" i="1"/>
  <c r="J18" i="1"/>
  <c r="K18" i="1"/>
  <c r="L18" i="1"/>
  <c r="R18" i="1"/>
  <c r="V18" i="1"/>
  <c r="W18" i="1"/>
  <c r="X18" i="1"/>
  <c r="AA18" i="1"/>
  <c r="AB61" i="1"/>
  <c r="AC3" i="1"/>
  <c r="AE3" i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C31" i="1"/>
  <c r="D31" i="1" s="1"/>
  <c r="E31" i="1" s="1"/>
  <c r="F31" i="1" s="1"/>
  <c r="G31" i="1" s="1"/>
  <c r="H31" i="1" s="1"/>
  <c r="I31" i="1" s="1"/>
  <c r="C45" i="1"/>
  <c r="C83" i="1" s="1"/>
  <c r="D64" i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D70" i="1"/>
  <c r="E70" i="1" s="1"/>
  <c r="F70" i="1" s="1"/>
  <c r="G70" i="1" s="1"/>
  <c r="H70" i="1" s="1"/>
  <c r="I70" i="1" s="1"/>
  <c r="D74" i="1"/>
  <c r="E74" i="1" s="1"/>
  <c r="F74" i="1" s="1"/>
  <c r="G74" i="1" s="1"/>
  <c r="H74" i="1" s="1"/>
  <c r="I74" i="1" s="1"/>
  <c r="D78" i="1"/>
  <c r="E78" i="1" s="1"/>
  <c r="F78" i="1" s="1"/>
  <c r="G78" i="1" s="1"/>
  <c r="H78" i="1" s="1"/>
  <c r="I78" i="1" s="1"/>
  <c r="D82" i="1"/>
  <c r="E82" i="1" s="1"/>
  <c r="F82" i="1" s="1"/>
  <c r="G82" i="1" s="1"/>
  <c r="H82" i="1" s="1"/>
  <c r="I82" i="1" s="1"/>
  <c r="D86" i="1"/>
  <c r="E86" i="1" s="1"/>
  <c r="F86" i="1" s="1"/>
  <c r="G86" i="1" s="1"/>
  <c r="H86" i="1" s="1"/>
  <c r="I86" i="1" s="1"/>
  <c r="R10" i="1"/>
  <c r="Y4" i="1" l="1"/>
  <c r="X4" i="1"/>
  <c r="X39" i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K110" i="1" s="1"/>
  <c r="T61" i="1"/>
  <c r="P61" i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C61" i="1"/>
  <c r="C62" i="1" s="1"/>
  <c r="C67" i="1" s="1"/>
  <c r="R61" i="1"/>
  <c r="D61" i="1"/>
  <c r="U61" i="1"/>
  <c r="O13" i="1"/>
  <c r="Y61" i="1"/>
  <c r="F61" i="1"/>
  <c r="S61" i="1"/>
  <c r="G61" i="1"/>
  <c r="W61" i="1"/>
  <c r="X61" i="1"/>
  <c r="Q61" i="1"/>
  <c r="E61" i="1"/>
  <c r="V61" i="1"/>
  <c r="L61" i="1"/>
  <c r="O61" i="1"/>
  <c r="AF61" i="1"/>
  <c r="H61" i="1"/>
  <c r="N61" i="1"/>
  <c r="AD61" i="1"/>
  <c r="AA61" i="1"/>
  <c r="M61" i="1"/>
  <c r="AC61" i="1"/>
  <c r="I61" i="1"/>
  <c r="K61" i="1"/>
  <c r="J61" i="1"/>
  <c r="J82" i="1"/>
  <c r="K82" i="1" s="1"/>
  <c r="L82" i="1" s="1"/>
  <c r="M82" i="1" s="1"/>
  <c r="N82" i="1" s="1"/>
  <c r="O82" i="1" s="1"/>
  <c r="P82" i="1" s="1"/>
  <c r="Q82" i="1" s="1"/>
  <c r="J86" i="1"/>
  <c r="K86" i="1" s="1"/>
  <c r="L86" i="1" s="1"/>
  <c r="M86" i="1" s="1"/>
  <c r="N86" i="1" s="1"/>
  <c r="O86" i="1" s="1"/>
  <c r="P86" i="1" s="1"/>
  <c r="Q86" i="1" s="1"/>
  <c r="J78" i="1"/>
  <c r="K78" i="1" s="1"/>
  <c r="L78" i="1" s="1"/>
  <c r="M78" i="1" s="1"/>
  <c r="N78" i="1" s="1"/>
  <c r="O78" i="1" s="1"/>
  <c r="P78" i="1" s="1"/>
  <c r="Q78" i="1" s="1"/>
  <c r="J74" i="1"/>
  <c r="L74" i="1" s="1"/>
  <c r="M74" i="1" s="1"/>
  <c r="N74" i="1" s="1"/>
  <c r="O74" i="1" s="1"/>
  <c r="P74" i="1" s="1"/>
  <c r="Q74" i="1" s="1"/>
  <c r="J70" i="1"/>
  <c r="K70" i="1" s="1"/>
  <c r="L70" i="1" s="1"/>
  <c r="M70" i="1" s="1"/>
  <c r="N70" i="1" s="1"/>
  <c r="O70" i="1" s="1"/>
  <c r="P70" i="1" s="1"/>
  <c r="Q70" i="1" s="1"/>
  <c r="AC64" i="1"/>
  <c r="AD64" i="1" s="1"/>
  <c r="AE64" i="1" s="1"/>
  <c r="AF64" i="1" s="1"/>
  <c r="AG64" i="1" s="1"/>
  <c r="AG96" i="1"/>
  <c r="P60" i="1"/>
  <c r="P66" i="1" s="1"/>
  <c r="L3" i="1"/>
  <c r="AF3" i="1"/>
  <c r="V3" i="1"/>
  <c r="K3" i="1"/>
  <c r="J3" i="1"/>
  <c r="U3" i="1"/>
  <c r="S3" i="1"/>
  <c r="I3" i="1"/>
  <c r="P3" i="1"/>
  <c r="AG3" i="1"/>
  <c r="R3" i="1"/>
  <c r="AB3" i="1"/>
  <c r="H3" i="1"/>
  <c r="AA3" i="1"/>
  <c r="N3" i="1"/>
  <c r="E3" i="1"/>
  <c r="C3" i="1"/>
  <c r="X3" i="1"/>
  <c r="M3" i="1"/>
  <c r="D3" i="1"/>
  <c r="AG27" i="1"/>
  <c r="AB4" i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E4" i="1"/>
  <c r="R4" i="1"/>
  <c r="G4" i="1"/>
  <c r="T4" i="1"/>
  <c r="D45" i="1"/>
  <c r="D83" i="1" s="1"/>
  <c r="D15" i="1"/>
  <c r="E15" i="1" s="1"/>
  <c r="AF4" i="1"/>
  <c r="AC4" i="1"/>
  <c r="AC5" i="1" s="1"/>
  <c r="S4" i="1"/>
  <c r="AG4" i="1"/>
  <c r="D47" i="1"/>
  <c r="C19" i="1"/>
  <c r="D19" i="1" s="1"/>
  <c r="E7" i="1"/>
  <c r="AD4" i="1"/>
  <c r="F4" i="1"/>
  <c r="D4" i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U4" i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Y3" i="1"/>
  <c r="Q4" i="1"/>
  <c r="P4" i="1"/>
  <c r="I4" i="1"/>
  <c r="T3" i="1"/>
  <c r="L4" i="1"/>
  <c r="K4" i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C4" i="1"/>
  <c r="C11" i="1"/>
  <c r="G3" i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C80" i="1"/>
  <c r="Q3" i="1"/>
  <c r="E51" i="1"/>
  <c r="N4" i="1"/>
  <c r="J4" i="1"/>
  <c r="O4" i="1"/>
  <c r="M4" i="1"/>
  <c r="AE4" i="1"/>
  <c r="AE5" i="1" s="1"/>
  <c r="W4" i="1"/>
  <c r="D97" i="1"/>
  <c r="V4" i="1"/>
  <c r="H4" i="1"/>
  <c r="AD3" i="1"/>
  <c r="W3" i="1"/>
  <c r="F3" i="1"/>
  <c r="D49" i="1"/>
  <c r="D17" i="1"/>
  <c r="C9" i="1"/>
  <c r="AN112" i="1" l="1"/>
  <c r="AP112" i="1" s="1"/>
  <c r="S35" i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3" i="1"/>
  <c r="F5" i="1"/>
  <c r="F15" i="1"/>
  <c r="G15" i="1" s="1"/>
  <c r="AB5" i="1"/>
  <c r="P13" i="1"/>
  <c r="R82" i="1"/>
  <c r="R70" i="1"/>
  <c r="R86" i="1"/>
  <c r="R78" i="1"/>
  <c r="R74" i="1"/>
  <c r="AA97" i="1"/>
  <c r="H5" i="1"/>
  <c r="O5" i="1"/>
  <c r="D11" i="1"/>
  <c r="C72" i="1"/>
  <c r="AF5" i="1"/>
  <c r="J5" i="1"/>
  <c r="P5" i="1"/>
  <c r="N5" i="1"/>
  <c r="M5" i="1"/>
  <c r="L5" i="1"/>
  <c r="E5" i="1"/>
  <c r="D5" i="1"/>
  <c r="AA5" i="1"/>
  <c r="K5" i="1"/>
  <c r="I5" i="1"/>
  <c r="X5" i="1"/>
  <c r="AG5" i="1"/>
  <c r="Z5" i="1"/>
  <c r="U5" i="1"/>
  <c r="V5" i="1"/>
  <c r="S5" i="1"/>
  <c r="R5" i="1"/>
  <c r="C5" i="1"/>
  <c r="Q60" i="1"/>
  <c r="Q66" i="1" s="1"/>
  <c r="AH27" i="1"/>
  <c r="AK109" i="1" s="1"/>
  <c r="AG29" i="1"/>
  <c r="AG31" i="1"/>
  <c r="AN111" i="1" s="1"/>
  <c r="AP111" i="1" s="1"/>
  <c r="AG33" i="1"/>
  <c r="AG25" i="1"/>
  <c r="Y5" i="1"/>
  <c r="G5" i="1"/>
  <c r="F7" i="1"/>
  <c r="AD5" i="1"/>
  <c r="W5" i="1"/>
  <c r="T5" i="1"/>
  <c r="Q5" i="1"/>
  <c r="E45" i="1"/>
  <c r="E83" i="1" s="1"/>
  <c r="E19" i="1"/>
  <c r="C76" i="1"/>
  <c r="D21" i="1"/>
  <c r="E21" i="1" s="1"/>
  <c r="E47" i="1"/>
  <c r="C75" i="1"/>
  <c r="A4" i="1"/>
  <c r="U23" i="1"/>
  <c r="F51" i="1"/>
  <c r="E97" i="1"/>
  <c r="E49" i="1"/>
  <c r="E79" i="1" s="1"/>
  <c r="D79" i="1"/>
  <c r="E17" i="1"/>
  <c r="D9" i="1"/>
  <c r="C71" i="1"/>
  <c r="G7" i="1" l="1"/>
  <c r="S74" i="1"/>
  <c r="T74" i="1" s="1"/>
  <c r="U74" i="1" s="1"/>
  <c r="V74" i="1" s="1"/>
  <c r="W74" i="1" s="1"/>
  <c r="X74" i="1" s="1"/>
  <c r="S78" i="1"/>
  <c r="T78" i="1" s="1"/>
  <c r="U78" i="1" s="1"/>
  <c r="V78" i="1" s="1"/>
  <c r="W78" i="1" s="1"/>
  <c r="X78" i="1" s="1"/>
  <c r="S86" i="1"/>
  <c r="T86" i="1" s="1"/>
  <c r="U86" i="1" s="1"/>
  <c r="V86" i="1" s="1"/>
  <c r="W86" i="1" s="1"/>
  <c r="X86" i="1" s="1"/>
  <c r="S70" i="1"/>
  <c r="T70" i="1" s="1"/>
  <c r="U70" i="1" s="1"/>
  <c r="V70" i="1" s="1"/>
  <c r="W70" i="1" s="1"/>
  <c r="X70" i="1" s="1"/>
  <c r="S82" i="1"/>
  <c r="T82" i="1" s="1"/>
  <c r="U82" i="1" s="1"/>
  <c r="V82" i="1" s="1"/>
  <c r="W82" i="1" s="1"/>
  <c r="X82" i="1" s="1"/>
  <c r="C65" i="1"/>
  <c r="C87" i="1" s="1"/>
  <c r="C63" i="1"/>
  <c r="D58" i="1"/>
  <c r="E58" i="1" s="1"/>
  <c r="E65" i="1" s="1"/>
  <c r="Q13" i="1"/>
  <c r="R13" i="1" s="1"/>
  <c r="S13" i="1" s="1"/>
  <c r="T13" i="1" s="1"/>
  <c r="U13" i="1" s="1"/>
  <c r="V13" i="1" s="1"/>
  <c r="W13" i="1" s="1"/>
  <c r="X13" i="1" s="1"/>
  <c r="Y13" i="1" s="1"/>
  <c r="Z13" i="1" s="1"/>
  <c r="H15" i="1"/>
  <c r="D62" i="1"/>
  <c r="F21" i="1"/>
  <c r="G21" i="1" s="1"/>
  <c r="E75" i="1"/>
  <c r="E11" i="1"/>
  <c r="AK106" i="1"/>
  <c r="AN109" i="1"/>
  <c r="AP109" i="1" s="1"/>
  <c r="R60" i="1"/>
  <c r="R66" i="1" s="1"/>
  <c r="AH31" i="1"/>
  <c r="AK112" i="1" s="1"/>
  <c r="F19" i="1"/>
  <c r="D75" i="1"/>
  <c r="F45" i="1"/>
  <c r="F83" i="1" s="1"/>
  <c r="F47" i="1"/>
  <c r="V23" i="1"/>
  <c r="G51" i="1"/>
  <c r="F97" i="1"/>
  <c r="F49" i="1"/>
  <c r="F79" i="1" s="1"/>
  <c r="F17" i="1"/>
  <c r="E9" i="1"/>
  <c r="E71" i="1" s="1"/>
  <c r="D71" i="1"/>
  <c r="H7" i="1" l="1"/>
  <c r="AA13" i="1"/>
  <c r="AB13" i="1" s="1"/>
  <c r="AC13" i="1" s="1"/>
  <c r="Y82" i="1"/>
  <c r="Z82" i="1" s="1"/>
  <c r="AA82" i="1" s="1"/>
  <c r="AB82" i="1" s="1"/>
  <c r="AC82" i="1" s="1"/>
  <c r="AD82" i="1" s="1"/>
  <c r="AE82" i="1" s="1"/>
  <c r="AF82" i="1" s="1"/>
  <c r="AG82" i="1" s="1"/>
  <c r="Y70" i="1"/>
  <c r="Z70" i="1" s="1"/>
  <c r="AA70" i="1" s="1"/>
  <c r="AB70" i="1" s="1"/>
  <c r="AC70" i="1" s="1"/>
  <c r="AD70" i="1" s="1"/>
  <c r="AE70" i="1" s="1"/>
  <c r="AF70" i="1" s="1"/>
  <c r="AG70" i="1" s="1"/>
  <c r="Y86" i="1"/>
  <c r="Z86" i="1" s="1"/>
  <c r="AA86" i="1" s="1"/>
  <c r="AB86" i="1" s="1"/>
  <c r="AC86" i="1" s="1"/>
  <c r="AD86" i="1" s="1"/>
  <c r="AE86" i="1" s="1"/>
  <c r="AF86" i="1" s="1"/>
  <c r="AG86" i="1" s="1"/>
  <c r="Y78" i="1"/>
  <c r="Z78" i="1" s="1"/>
  <c r="AA78" i="1" s="1"/>
  <c r="AB78" i="1" s="1"/>
  <c r="AC78" i="1" s="1"/>
  <c r="AD78" i="1" s="1"/>
  <c r="AE78" i="1" s="1"/>
  <c r="AF78" i="1" s="1"/>
  <c r="AG78" i="1" s="1"/>
  <c r="Y74" i="1"/>
  <c r="Z74" i="1" s="1"/>
  <c r="AA74" i="1" s="1"/>
  <c r="AB74" i="1" s="1"/>
  <c r="AC74" i="1" s="1"/>
  <c r="AD74" i="1" s="1"/>
  <c r="AE74" i="1" s="1"/>
  <c r="AF74" i="1" s="1"/>
  <c r="AG74" i="1" s="1"/>
  <c r="D63" i="1"/>
  <c r="C88" i="1"/>
  <c r="I15" i="1"/>
  <c r="E62" i="1"/>
  <c r="F11" i="1"/>
  <c r="F75" i="1"/>
  <c r="E87" i="1"/>
  <c r="H21" i="1"/>
  <c r="S60" i="1"/>
  <c r="S66" i="1" s="1"/>
  <c r="G19" i="1"/>
  <c r="F58" i="1"/>
  <c r="F65" i="1" s="1"/>
  <c r="G45" i="1"/>
  <c r="G83" i="1" s="1"/>
  <c r="D65" i="1"/>
  <c r="G47" i="1"/>
  <c r="W23" i="1"/>
  <c r="H51" i="1"/>
  <c r="G97" i="1"/>
  <c r="G49" i="1"/>
  <c r="G79" i="1" s="1"/>
  <c r="G17" i="1"/>
  <c r="G75" i="1" s="1"/>
  <c r="F9" i="1"/>
  <c r="F71" i="1" s="1"/>
  <c r="I7" i="1" l="1"/>
  <c r="E63" i="1"/>
  <c r="AD13" i="1"/>
  <c r="J15" i="1"/>
  <c r="F62" i="1"/>
  <c r="G11" i="1"/>
  <c r="F87" i="1"/>
  <c r="I21" i="1"/>
  <c r="G58" i="1"/>
  <c r="G65" i="1" s="1"/>
  <c r="T60" i="1"/>
  <c r="T66" i="1" s="1"/>
  <c r="H19" i="1"/>
  <c r="H45" i="1"/>
  <c r="H83" i="1" s="1"/>
  <c r="D87" i="1"/>
  <c r="H47" i="1"/>
  <c r="X23" i="1"/>
  <c r="I51" i="1"/>
  <c r="H97" i="1"/>
  <c r="H49" i="1"/>
  <c r="H79" i="1" s="1"/>
  <c r="H17" i="1"/>
  <c r="H75" i="1" s="1"/>
  <c r="G9" i="1"/>
  <c r="G71" i="1" s="1"/>
  <c r="J7" i="1" l="1"/>
  <c r="F63" i="1"/>
  <c r="AE13" i="1"/>
  <c r="K15" i="1"/>
  <c r="G62" i="1"/>
  <c r="H11" i="1"/>
  <c r="G87" i="1"/>
  <c r="J21" i="1"/>
  <c r="H58" i="1"/>
  <c r="H65" i="1" s="1"/>
  <c r="U60" i="1"/>
  <c r="U66" i="1" s="1"/>
  <c r="I19" i="1"/>
  <c r="I45" i="1"/>
  <c r="I83" i="1" s="1"/>
  <c r="I47" i="1"/>
  <c r="J51" i="1"/>
  <c r="Y23" i="1"/>
  <c r="Z23" i="1" s="1"/>
  <c r="I97" i="1"/>
  <c r="I49" i="1"/>
  <c r="I79" i="1" s="1"/>
  <c r="I17" i="1"/>
  <c r="I75" i="1" s="1"/>
  <c r="H9" i="1"/>
  <c r="H71" i="1" s="1"/>
  <c r="K7" i="1" l="1"/>
  <c r="G63" i="1"/>
  <c r="AF13" i="1"/>
  <c r="I11" i="1"/>
  <c r="L15" i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H62" i="1"/>
  <c r="H87" i="1"/>
  <c r="K21" i="1"/>
  <c r="I58" i="1"/>
  <c r="I65" i="1" s="1"/>
  <c r="V60" i="1"/>
  <c r="V66" i="1" s="1"/>
  <c r="J19" i="1"/>
  <c r="K51" i="1"/>
  <c r="J45" i="1"/>
  <c r="J83" i="1" s="1"/>
  <c r="J47" i="1"/>
  <c r="K97" i="1"/>
  <c r="J97" i="1"/>
  <c r="J49" i="1"/>
  <c r="J79" i="1" s="1"/>
  <c r="J17" i="1"/>
  <c r="J75" i="1" s="1"/>
  <c r="I9" i="1"/>
  <c r="I71" i="1" s="1"/>
  <c r="L7" i="1" l="1"/>
  <c r="AA15" i="1"/>
  <c r="AB15" i="1" s="1"/>
  <c r="AC15" i="1" s="1"/>
  <c r="AD15" i="1" s="1"/>
  <c r="AE15" i="1" s="1"/>
  <c r="AF15" i="1" s="1"/>
  <c r="AG15" i="1" s="1"/>
  <c r="H63" i="1"/>
  <c r="AG13" i="1"/>
  <c r="J11" i="1"/>
  <c r="I62" i="1"/>
  <c r="I87" i="1"/>
  <c r="L21" i="1"/>
  <c r="J58" i="1"/>
  <c r="J65" i="1" s="1"/>
  <c r="W60" i="1"/>
  <c r="W66" i="1" s="1"/>
  <c r="K19" i="1"/>
  <c r="L51" i="1"/>
  <c r="K45" i="1"/>
  <c r="K83" i="1" s="1"/>
  <c r="K47" i="1"/>
  <c r="AA23" i="1"/>
  <c r="K49" i="1"/>
  <c r="K79" i="1" s="1"/>
  <c r="K17" i="1"/>
  <c r="K75" i="1" s="1"/>
  <c r="J9" i="1"/>
  <c r="J71" i="1" s="1"/>
  <c r="M7" i="1" l="1"/>
  <c r="K11" i="1"/>
  <c r="I63" i="1"/>
  <c r="J62" i="1"/>
  <c r="J87" i="1"/>
  <c r="M21" i="1"/>
  <c r="K58" i="1"/>
  <c r="K65" i="1" s="1"/>
  <c r="X60" i="1"/>
  <c r="X66" i="1" s="1"/>
  <c r="AB23" i="1"/>
  <c r="AC23" i="1" s="1"/>
  <c r="AD23" i="1" s="1"/>
  <c r="AE23" i="1" s="1"/>
  <c r="AF23" i="1" s="1"/>
  <c r="L19" i="1"/>
  <c r="M51" i="1"/>
  <c r="L45" i="1"/>
  <c r="L83" i="1" s="1"/>
  <c r="L47" i="1"/>
  <c r="L97" i="1"/>
  <c r="L49" i="1"/>
  <c r="L79" i="1" s="1"/>
  <c r="L17" i="1"/>
  <c r="L75" i="1" s="1"/>
  <c r="K9" i="1"/>
  <c r="K71" i="1" s="1"/>
  <c r="N7" i="1" l="1"/>
  <c r="L11" i="1"/>
  <c r="J63" i="1"/>
  <c r="K62" i="1"/>
  <c r="K87" i="1"/>
  <c r="N21" i="1"/>
  <c r="L58" i="1"/>
  <c r="L65" i="1" s="1"/>
  <c r="Y60" i="1"/>
  <c r="Y66" i="1" s="1"/>
  <c r="AG23" i="1"/>
  <c r="AH23" i="1" s="1"/>
  <c r="AK102" i="1" s="1"/>
  <c r="N51" i="1"/>
  <c r="M19" i="1"/>
  <c r="M45" i="1"/>
  <c r="M83" i="1" s="1"/>
  <c r="M47" i="1"/>
  <c r="M97" i="1"/>
  <c r="M49" i="1"/>
  <c r="M79" i="1" s="1"/>
  <c r="M17" i="1"/>
  <c r="M75" i="1" s="1"/>
  <c r="L9" i="1"/>
  <c r="L71" i="1" s="1"/>
  <c r="O7" i="1" l="1"/>
  <c r="M11" i="1"/>
  <c r="M72" i="1" s="1"/>
  <c r="L62" i="1"/>
  <c r="L67" i="1" s="1"/>
  <c r="L88" i="1" s="1"/>
  <c r="K63" i="1"/>
  <c r="L87" i="1"/>
  <c r="O21" i="1"/>
  <c r="M58" i="1"/>
  <c r="M65" i="1" s="1"/>
  <c r="Z60" i="1"/>
  <c r="Z66" i="1" s="1"/>
  <c r="AG98" i="1"/>
  <c r="AG99" i="1" s="1"/>
  <c r="AK105" i="1" s="1"/>
  <c r="O51" i="1"/>
  <c r="N19" i="1"/>
  <c r="N45" i="1"/>
  <c r="N83" i="1" s="1"/>
  <c r="N47" i="1"/>
  <c r="N97" i="1"/>
  <c r="N49" i="1"/>
  <c r="N79" i="1" s="1"/>
  <c r="N17" i="1"/>
  <c r="N75" i="1" s="1"/>
  <c r="M9" i="1"/>
  <c r="M71" i="1" s="1"/>
  <c r="P7" i="1" l="1"/>
  <c r="N11" i="1"/>
  <c r="O11" i="1" s="1"/>
  <c r="L63" i="1"/>
  <c r="M62" i="1"/>
  <c r="M67" i="1" s="1"/>
  <c r="M88" i="1" s="1"/>
  <c r="M87" i="1"/>
  <c r="P21" i="1"/>
  <c r="Q21" i="1" s="1"/>
  <c r="N58" i="1"/>
  <c r="N65" i="1" s="1"/>
  <c r="AA60" i="1"/>
  <c r="AA66" i="1" s="1"/>
  <c r="P51" i="1"/>
  <c r="O19" i="1"/>
  <c r="O76" i="1" s="1"/>
  <c r="O45" i="1"/>
  <c r="O83" i="1" s="1"/>
  <c r="O47" i="1"/>
  <c r="O49" i="1"/>
  <c r="O79" i="1" s="1"/>
  <c r="O17" i="1"/>
  <c r="O75" i="1" s="1"/>
  <c r="N9" i="1"/>
  <c r="N71" i="1" s="1"/>
  <c r="Q7" i="1" l="1"/>
  <c r="M63" i="1"/>
  <c r="N62" i="1"/>
  <c r="N87" i="1"/>
  <c r="P11" i="1"/>
  <c r="O58" i="1"/>
  <c r="O65" i="1" s="1"/>
  <c r="AB60" i="1"/>
  <c r="AB66" i="1" s="1"/>
  <c r="Q51" i="1"/>
  <c r="P76" i="1"/>
  <c r="P45" i="1"/>
  <c r="P83" i="1" s="1"/>
  <c r="P47" i="1"/>
  <c r="P49" i="1"/>
  <c r="P79" i="1" s="1"/>
  <c r="P17" i="1"/>
  <c r="P75" i="1" s="1"/>
  <c r="O9" i="1"/>
  <c r="O71" i="1" s="1"/>
  <c r="R7" i="1" l="1"/>
  <c r="O62" i="1"/>
  <c r="O67" i="1" s="1"/>
  <c r="O88" i="1" s="1"/>
  <c r="N63" i="1"/>
  <c r="O87" i="1"/>
  <c r="R21" i="1"/>
  <c r="P58" i="1"/>
  <c r="P65" i="1" s="1"/>
  <c r="AC60" i="1"/>
  <c r="AC66" i="1" s="1"/>
  <c r="R51" i="1"/>
  <c r="Q19" i="1"/>
  <c r="Q76" i="1" s="1"/>
  <c r="Q45" i="1"/>
  <c r="Q83" i="1" s="1"/>
  <c r="Q47" i="1"/>
  <c r="Q11" i="1"/>
  <c r="T97" i="1"/>
  <c r="Q49" i="1"/>
  <c r="Q79" i="1" s="1"/>
  <c r="Q17" i="1"/>
  <c r="P9" i="1"/>
  <c r="P71" i="1" s="1"/>
  <c r="S7" i="1" l="1"/>
  <c r="O63" i="1"/>
  <c r="P62" i="1"/>
  <c r="P87" i="1"/>
  <c r="S21" i="1"/>
  <c r="Q58" i="1"/>
  <c r="AD60" i="1"/>
  <c r="AD66" i="1" s="1"/>
  <c r="S51" i="1"/>
  <c r="R19" i="1"/>
  <c r="R76" i="1" s="1"/>
  <c r="R45" i="1"/>
  <c r="R83" i="1" s="1"/>
  <c r="R47" i="1"/>
  <c r="R11" i="1"/>
  <c r="U97" i="1"/>
  <c r="R49" i="1"/>
  <c r="R79" i="1" s="1"/>
  <c r="R17" i="1"/>
  <c r="R75" i="1" s="1"/>
  <c r="Q9" i="1"/>
  <c r="Q71" i="1" s="1"/>
  <c r="P67" i="1" l="1"/>
  <c r="P88" i="1" s="1"/>
  <c r="Q62" i="1"/>
  <c r="Q63" i="1" s="1"/>
  <c r="T7" i="1"/>
  <c r="Q67" i="1"/>
  <c r="P63" i="1"/>
  <c r="Q65" i="1"/>
  <c r="Q87" i="1" s="1"/>
  <c r="T21" i="1"/>
  <c r="R58" i="1"/>
  <c r="R65" i="1" s="1"/>
  <c r="AE60" i="1"/>
  <c r="AE66" i="1" s="1"/>
  <c r="T51" i="1"/>
  <c r="S19" i="1"/>
  <c r="S76" i="1" s="1"/>
  <c r="S45" i="1"/>
  <c r="S83" i="1" s="1"/>
  <c r="S47" i="1"/>
  <c r="S11" i="1"/>
  <c r="S72" i="1" s="1"/>
  <c r="V97" i="1"/>
  <c r="S49" i="1"/>
  <c r="S79" i="1" s="1"/>
  <c r="S17" i="1"/>
  <c r="S75" i="1" s="1"/>
  <c r="R9" i="1"/>
  <c r="R71" i="1" s="1"/>
  <c r="Q88" i="1" l="1"/>
  <c r="U7" i="1"/>
  <c r="R62" i="1"/>
  <c r="R67" i="1" s="1"/>
  <c r="R88" i="1" s="1"/>
  <c r="R87" i="1"/>
  <c r="S58" i="1"/>
  <c r="S65" i="1" s="1"/>
  <c r="U21" i="1"/>
  <c r="AF60" i="1"/>
  <c r="AF66" i="1" s="1"/>
  <c r="U51" i="1"/>
  <c r="T19" i="1"/>
  <c r="T76" i="1" s="1"/>
  <c r="T45" i="1"/>
  <c r="T83" i="1" s="1"/>
  <c r="T47" i="1"/>
  <c r="T11" i="1"/>
  <c r="W97" i="1"/>
  <c r="T49" i="1"/>
  <c r="T79" i="1" s="1"/>
  <c r="T17" i="1"/>
  <c r="T75" i="1" s="1"/>
  <c r="S9" i="1"/>
  <c r="S71" i="1" s="1"/>
  <c r="V7" i="1" l="1"/>
  <c r="S87" i="1"/>
  <c r="R63" i="1"/>
  <c r="S62" i="1"/>
  <c r="S67" i="1" s="1"/>
  <c r="T58" i="1"/>
  <c r="T65" i="1" s="1"/>
  <c r="V21" i="1"/>
  <c r="AG60" i="1"/>
  <c r="V51" i="1"/>
  <c r="U19" i="1"/>
  <c r="U76" i="1" s="1"/>
  <c r="U45" i="1"/>
  <c r="U83" i="1" s="1"/>
  <c r="U47" i="1"/>
  <c r="U11" i="1"/>
  <c r="X97" i="1"/>
  <c r="U49" i="1"/>
  <c r="U79" i="1" s="1"/>
  <c r="U17" i="1"/>
  <c r="U75" i="1" s="1"/>
  <c r="T9" i="1"/>
  <c r="T71" i="1" s="1"/>
  <c r="S88" i="1" l="1"/>
  <c r="W7" i="1"/>
  <c r="T87" i="1"/>
  <c r="S63" i="1"/>
  <c r="T62" i="1"/>
  <c r="T67" i="1" s="1"/>
  <c r="T88" i="1" s="1"/>
  <c r="AG66" i="1"/>
  <c r="AI60" i="1"/>
  <c r="U58" i="1"/>
  <c r="W21" i="1"/>
  <c r="W51" i="1"/>
  <c r="V19" i="1"/>
  <c r="V76" i="1" s="1"/>
  <c r="V45" i="1"/>
  <c r="V83" i="1" s="1"/>
  <c r="V47" i="1"/>
  <c r="V11" i="1"/>
  <c r="V49" i="1"/>
  <c r="V79" i="1" s="1"/>
  <c r="V17" i="1"/>
  <c r="V75" i="1" s="1"/>
  <c r="U9" i="1"/>
  <c r="U71" i="1" s="1"/>
  <c r="X7" i="1" l="1"/>
  <c r="T63" i="1"/>
  <c r="U62" i="1"/>
  <c r="U67" i="1" s="1"/>
  <c r="U65" i="1"/>
  <c r="U87" i="1" s="1"/>
  <c r="V58" i="1"/>
  <c r="V65" i="1" s="1"/>
  <c r="X21" i="1"/>
  <c r="X51" i="1"/>
  <c r="W19" i="1"/>
  <c r="W76" i="1" s="1"/>
  <c r="W45" i="1"/>
  <c r="W83" i="1" s="1"/>
  <c r="W47" i="1"/>
  <c r="W11" i="1"/>
  <c r="W49" i="1"/>
  <c r="W79" i="1" s="1"/>
  <c r="W17" i="1"/>
  <c r="W75" i="1" s="1"/>
  <c r="V9" i="1"/>
  <c r="V71" i="1" s="1"/>
  <c r="U88" i="1" l="1"/>
  <c r="Y7" i="1"/>
  <c r="U63" i="1"/>
  <c r="V62" i="1"/>
  <c r="V67" i="1" s="1"/>
  <c r="V87" i="1"/>
  <c r="W58" i="1"/>
  <c r="W65" i="1" s="1"/>
  <c r="Y21" i="1"/>
  <c r="Y51" i="1"/>
  <c r="X19" i="1"/>
  <c r="X76" i="1" s="1"/>
  <c r="X45" i="1"/>
  <c r="X83" i="1" s="1"/>
  <c r="X47" i="1"/>
  <c r="X11" i="1"/>
  <c r="X49" i="1"/>
  <c r="X79" i="1" s="1"/>
  <c r="X17" i="1"/>
  <c r="X75" i="1" s="1"/>
  <c r="W9" i="1"/>
  <c r="W71" i="1" s="1"/>
  <c r="V88" i="1" l="1"/>
  <c r="Z7" i="1"/>
  <c r="V63" i="1"/>
  <c r="W62" i="1"/>
  <c r="W67" i="1" s="1"/>
  <c r="W87" i="1"/>
  <c r="X58" i="1"/>
  <c r="X65" i="1" s="1"/>
  <c r="Z21" i="1"/>
  <c r="Z51" i="1"/>
  <c r="Y19" i="1"/>
  <c r="Y76" i="1" s="1"/>
  <c r="Y45" i="1"/>
  <c r="Y83" i="1" s="1"/>
  <c r="Y47" i="1"/>
  <c r="Y11" i="1"/>
  <c r="Y49" i="1"/>
  <c r="Y79" i="1" s="1"/>
  <c r="Y17" i="1"/>
  <c r="Y75" i="1" s="1"/>
  <c r="X9" i="1"/>
  <c r="X71" i="1" s="1"/>
  <c r="W88" i="1" l="1"/>
  <c r="AA7" i="1"/>
  <c r="Z11" i="1"/>
  <c r="Z72" i="1" s="1"/>
  <c r="X62" i="1"/>
  <c r="W63" i="1"/>
  <c r="X87" i="1"/>
  <c r="Y58" i="1"/>
  <c r="Y65" i="1" s="1"/>
  <c r="AA21" i="1"/>
  <c r="AA51" i="1"/>
  <c r="Z19" i="1"/>
  <c r="Z76" i="1" s="1"/>
  <c r="Z45" i="1"/>
  <c r="Z83" i="1" s="1"/>
  <c r="AG97" i="1"/>
  <c r="AK104" i="1" s="1"/>
  <c r="Z47" i="1"/>
  <c r="Z57" i="1"/>
  <c r="Z49" i="1"/>
  <c r="Z79" i="1" s="1"/>
  <c r="Z17" i="1"/>
  <c r="Y9" i="1"/>
  <c r="Y71" i="1" s="1"/>
  <c r="X63" i="1" l="1"/>
  <c r="X67" i="1"/>
  <c r="X88" i="1" s="1"/>
  <c r="AB7" i="1"/>
  <c r="Z75" i="1"/>
  <c r="Z61" i="1"/>
  <c r="Y87" i="1"/>
  <c r="Y62" i="1"/>
  <c r="Y67" i="1" s="1"/>
  <c r="Z58" i="1"/>
  <c r="Z65" i="1" s="1"/>
  <c r="AB21" i="1"/>
  <c r="AB51" i="1"/>
  <c r="AA19" i="1"/>
  <c r="AA76" i="1" s="1"/>
  <c r="AA45" i="1"/>
  <c r="AA83" i="1" s="1"/>
  <c r="AA47" i="1"/>
  <c r="AA11" i="1"/>
  <c r="AA49" i="1"/>
  <c r="AA79" i="1" s="1"/>
  <c r="AA17" i="1"/>
  <c r="AA75" i="1" s="1"/>
  <c r="Z9" i="1"/>
  <c r="Z71" i="1" s="1"/>
  <c r="Y88" i="1" l="1"/>
  <c r="AC7" i="1"/>
  <c r="Y63" i="1"/>
  <c r="Z87" i="1"/>
  <c r="Z62" i="1"/>
  <c r="Z67" i="1" s="1"/>
  <c r="Z88" i="1" s="1"/>
  <c r="AA58" i="1"/>
  <c r="AC21" i="1"/>
  <c r="AC51" i="1"/>
  <c r="AB19" i="1"/>
  <c r="AB76" i="1" s="1"/>
  <c r="AB45" i="1"/>
  <c r="AB83" i="1" s="1"/>
  <c r="AB47" i="1"/>
  <c r="AB11" i="1"/>
  <c r="AB49" i="1"/>
  <c r="AB79" i="1" s="1"/>
  <c r="AB17" i="1"/>
  <c r="AB75" i="1" s="1"/>
  <c r="AA9" i="1"/>
  <c r="AA71" i="1" s="1"/>
  <c r="AD7" i="1" l="1"/>
  <c r="Z63" i="1"/>
  <c r="AA62" i="1"/>
  <c r="AA67" i="1" s="1"/>
  <c r="AA65" i="1"/>
  <c r="AA87" i="1" s="1"/>
  <c r="AB58" i="1"/>
  <c r="AD21" i="1"/>
  <c r="AD51" i="1"/>
  <c r="AC19" i="1"/>
  <c r="AC76" i="1" s="1"/>
  <c r="AC45" i="1"/>
  <c r="AC83" i="1" s="1"/>
  <c r="AC47" i="1"/>
  <c r="AC11" i="1"/>
  <c r="AC49" i="1"/>
  <c r="AC79" i="1" s="1"/>
  <c r="AC17" i="1"/>
  <c r="AC75" i="1" s="1"/>
  <c r="AB9" i="1"/>
  <c r="AB71" i="1" s="1"/>
  <c r="AA88" i="1" l="1"/>
  <c r="AE7" i="1"/>
  <c r="AA63" i="1"/>
  <c r="AB62" i="1"/>
  <c r="AB67" i="1" s="1"/>
  <c r="AD47" i="1"/>
  <c r="AB65" i="1"/>
  <c r="AB87" i="1" s="1"/>
  <c r="AE51" i="1"/>
  <c r="AC58" i="1"/>
  <c r="AE21" i="1"/>
  <c r="AD19" i="1"/>
  <c r="AD76" i="1" s="1"/>
  <c r="AD45" i="1"/>
  <c r="AD83" i="1" s="1"/>
  <c r="AD11" i="1"/>
  <c r="AD49" i="1"/>
  <c r="AD79" i="1" s="1"/>
  <c r="AD17" i="1"/>
  <c r="AD75" i="1" s="1"/>
  <c r="AC9" i="1"/>
  <c r="AC71" i="1" s="1"/>
  <c r="AB88" i="1" l="1"/>
  <c r="AF7" i="1"/>
  <c r="AB63" i="1"/>
  <c r="AC62" i="1"/>
  <c r="AC67" i="1" s="1"/>
  <c r="AC88" i="1" s="1"/>
  <c r="AF51" i="1"/>
  <c r="AC65" i="1"/>
  <c r="AC87" i="1" s="1"/>
  <c r="AD58" i="1"/>
  <c r="AD65" i="1" s="1"/>
  <c r="AF21" i="1"/>
  <c r="AE19" i="1"/>
  <c r="AE76" i="1" s="1"/>
  <c r="AE45" i="1"/>
  <c r="AE83" i="1" s="1"/>
  <c r="AE47" i="1"/>
  <c r="AE11" i="1"/>
  <c r="AE49" i="1"/>
  <c r="AE79" i="1" s="1"/>
  <c r="AE17" i="1"/>
  <c r="AE75" i="1" s="1"/>
  <c r="AD9" i="1"/>
  <c r="AD71" i="1" s="1"/>
  <c r="AG7" i="1" l="1"/>
  <c r="AC63" i="1"/>
  <c r="AD62" i="1"/>
  <c r="AD67" i="1" s="1"/>
  <c r="AD88" i="1" s="1"/>
  <c r="AD87" i="1"/>
  <c r="AE58" i="1"/>
  <c r="AG21" i="1"/>
  <c r="AF47" i="1"/>
  <c r="AF19" i="1"/>
  <c r="AF76" i="1" s="1"/>
  <c r="AF11" i="1"/>
  <c r="AF72" i="1" s="1"/>
  <c r="AF45" i="1"/>
  <c r="AF83" i="1" s="1"/>
  <c r="AF49" i="1"/>
  <c r="AF79" i="1" s="1"/>
  <c r="AF17" i="1"/>
  <c r="AF75" i="1" s="1"/>
  <c r="AE9" i="1"/>
  <c r="AE71" i="1" s="1"/>
  <c r="Y89" i="1" l="1"/>
  <c r="X89" i="1"/>
  <c r="AD63" i="1"/>
  <c r="AE62" i="1"/>
  <c r="AK108" i="1"/>
  <c r="AG47" i="1"/>
  <c r="AN110" i="1"/>
  <c r="AP110" i="1" s="1"/>
  <c r="AE65" i="1"/>
  <c r="AE87" i="1" s="1"/>
  <c r="AF58" i="1"/>
  <c r="AG19" i="1"/>
  <c r="AG76" i="1" s="1"/>
  <c r="AG11" i="1"/>
  <c r="AN106" i="1" s="1"/>
  <c r="AP106" i="1" s="1"/>
  <c r="AG45" i="1"/>
  <c r="AG83" i="1" s="1"/>
  <c r="AG49" i="1"/>
  <c r="AG79" i="1" s="1"/>
  <c r="AG17" i="1"/>
  <c r="AG75" i="1" s="1"/>
  <c r="AF9" i="1"/>
  <c r="AF71" i="1" s="1"/>
  <c r="AE67" i="1" l="1"/>
  <c r="AE63" i="1"/>
  <c r="AE88" i="1"/>
  <c r="AH19" i="1"/>
  <c r="AF62" i="1"/>
  <c r="AF67" i="1" s="1"/>
  <c r="AI46" i="1"/>
  <c r="AH45" i="1"/>
  <c r="AH79" i="1"/>
  <c r="AN108" i="1"/>
  <c r="AP108" i="1" s="1"/>
  <c r="AH83" i="1"/>
  <c r="AF65" i="1"/>
  <c r="AF87" i="1" s="1"/>
  <c r="AG58" i="1"/>
  <c r="AG65" i="1" s="1"/>
  <c r="AH50" i="1"/>
  <c r="AG9" i="1"/>
  <c r="AG71" i="1" s="1"/>
  <c r="AF68" i="1" l="1"/>
  <c r="AF88" i="1"/>
  <c r="AC68" i="1"/>
  <c r="AD68" i="1"/>
  <c r="AE68" i="1"/>
  <c r="AA68" i="1"/>
  <c r="AB68" i="1"/>
  <c r="X68" i="1"/>
  <c r="Y68" i="1"/>
  <c r="V68" i="1"/>
  <c r="W68" i="1"/>
  <c r="S68" i="1"/>
  <c r="U68" i="1"/>
  <c r="N68" i="1"/>
  <c r="O68" i="1"/>
  <c r="P68" i="1"/>
  <c r="Q68" i="1"/>
  <c r="L68" i="1"/>
  <c r="M68" i="1"/>
  <c r="J68" i="1"/>
  <c r="K68" i="1"/>
  <c r="H68" i="1"/>
  <c r="I68" i="1"/>
  <c r="AF63" i="1"/>
  <c r="Z68" i="1"/>
  <c r="T68" i="1"/>
  <c r="R68" i="1"/>
  <c r="C68" i="1"/>
  <c r="AG62" i="1"/>
  <c r="AG67" i="1" s="1"/>
  <c r="AK107" i="1"/>
  <c r="AN107" i="1"/>
  <c r="AP107" i="1" s="1"/>
  <c r="AI58" i="1"/>
  <c r="AH76" i="1"/>
  <c r="AH72" i="1"/>
  <c r="AH75" i="1"/>
  <c r="AH71" i="1"/>
  <c r="AH74" i="1"/>
  <c r="AG88" i="1" l="1"/>
  <c r="AH63" i="1"/>
  <c r="AG63" i="1"/>
  <c r="AG87" i="1"/>
  <c r="E68" i="1"/>
  <c r="F68" i="1"/>
  <c r="G68" i="1"/>
  <c r="D68" i="1"/>
  <c r="AN113" i="1"/>
  <c r="AP113" i="1" s="1"/>
  <c r="AH68" i="1" l="1"/>
  <c r="AH67" i="1"/>
  <c r="AH65" i="1"/>
  <c r="AH87" i="1"/>
  <c r="AK100" i="1"/>
</calcChain>
</file>

<file path=xl/sharedStrings.xml><?xml version="1.0" encoding="utf-8"?>
<sst xmlns="http://schemas.openxmlformats.org/spreadsheetml/2006/main" count="238" uniqueCount="95">
  <si>
    <t>PRB</t>
  </si>
  <si>
    <t xml:space="preserve"> </t>
  </si>
  <si>
    <t>BPI</t>
  </si>
  <si>
    <t>Plan</t>
  </si>
  <si>
    <t>CUS</t>
  </si>
  <si>
    <t>Amt (THB)</t>
  </si>
  <si>
    <t>Detail</t>
  </si>
  <si>
    <t>WD INJ</t>
  </si>
  <si>
    <t>INJ</t>
  </si>
  <si>
    <t>PLAN</t>
  </si>
  <si>
    <t>WD RAMP</t>
  </si>
  <si>
    <t>Ramp</t>
  </si>
  <si>
    <t>WD</t>
  </si>
  <si>
    <t>ACC PLAN</t>
  </si>
  <si>
    <t>HGST INJ</t>
  </si>
  <si>
    <t>ACTUAL</t>
  </si>
  <si>
    <t>HGST RAMP</t>
  </si>
  <si>
    <t>ACC ACTUAL</t>
  </si>
  <si>
    <t>NETR</t>
  </si>
  <si>
    <t>TAP-C</t>
  </si>
  <si>
    <t>WD-BPI</t>
  </si>
  <si>
    <t>TRT</t>
  </si>
  <si>
    <t>RAMP</t>
  </si>
  <si>
    <t>Fujikura</t>
  </si>
  <si>
    <t>Advics</t>
  </si>
  <si>
    <t>WD-PRB</t>
  </si>
  <si>
    <t>Siam Aisin</t>
  </si>
  <si>
    <t xml:space="preserve">    ・TRT</t>
  </si>
  <si>
    <t>FETL</t>
  </si>
  <si>
    <t xml:space="preserve">    ・TAP-C</t>
  </si>
  <si>
    <t xml:space="preserve">    ・PRB</t>
  </si>
  <si>
    <t>ADVICS</t>
  </si>
  <si>
    <t>ALL</t>
  </si>
  <si>
    <t>Actual</t>
  </si>
  <si>
    <t xml:space="preserve">    ・SIAM AISIN</t>
  </si>
  <si>
    <t>Figure 1</t>
  </si>
  <si>
    <t xml:space="preserve">    ・ADVICS</t>
  </si>
  <si>
    <t>Over view totally</t>
  </si>
  <si>
    <t>Progressive / Acc Plan</t>
  </si>
  <si>
    <t>Figure 2</t>
  </si>
  <si>
    <t>Figure3</t>
  </si>
  <si>
    <t>Figure 4</t>
  </si>
  <si>
    <t>Total</t>
  </si>
  <si>
    <t>Figure 5</t>
  </si>
  <si>
    <t>INJ WD</t>
  </si>
  <si>
    <t>Figure 6</t>
  </si>
  <si>
    <t>INJ PRB</t>
  </si>
  <si>
    <t>OTHER</t>
  </si>
  <si>
    <t>NPI and Others ( exclude plan )</t>
  </si>
  <si>
    <t>Mektec</t>
  </si>
  <si>
    <t xml:space="preserve">Issued By </t>
  </si>
  <si>
    <t>Checked By</t>
  </si>
  <si>
    <t>Approve By</t>
  </si>
  <si>
    <t>Sale Progres(%)</t>
  </si>
  <si>
    <t xml:space="preserve">    ・BPI</t>
  </si>
  <si>
    <t xml:space="preserve">    ・Other ( HDD )</t>
  </si>
  <si>
    <t>ACC ANNUAL</t>
  </si>
  <si>
    <t>ANNUAL PLAN</t>
  </si>
  <si>
    <t>ANNUAL Plan</t>
  </si>
  <si>
    <t>Sale Separatej Type</t>
  </si>
  <si>
    <t>Ramp BPI</t>
  </si>
  <si>
    <t>Ramp PRB</t>
  </si>
  <si>
    <t xml:space="preserve">    ・TRT + Mektec</t>
  </si>
  <si>
    <t>KPI report to ISO</t>
  </si>
  <si>
    <t>SEAGATE</t>
  </si>
  <si>
    <t>,</t>
  </si>
  <si>
    <t>FECL</t>
  </si>
  <si>
    <t>Date</t>
  </si>
  <si>
    <t>SAP update</t>
  </si>
  <si>
    <t xml:space="preserve">    ・Belton</t>
  </si>
  <si>
    <t>BELTON</t>
  </si>
  <si>
    <t>Belton</t>
  </si>
  <si>
    <t>Monthlty  Plan</t>
  </si>
  <si>
    <t>Latch</t>
  </si>
  <si>
    <t>HGST</t>
  </si>
  <si>
    <t>Nidec/Toshiba (Filter Case)</t>
  </si>
  <si>
    <t>Fujikura (Bobin)</t>
  </si>
  <si>
    <t>Belton (Bracket)</t>
  </si>
  <si>
    <t xml:space="preserve">Latch </t>
  </si>
  <si>
    <t>Seagate (Slider Tray)</t>
  </si>
  <si>
    <t>Auto</t>
  </si>
  <si>
    <t>SIAM AISIN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</si>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</sst>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87" formatCode="_(* #,##0_);_(* \(#,##0\);_(* &quot;-&quot;??_);_(@_)"/>
    <numFmt numFmtId="188" formatCode="[$฿-41E]#,##0"/>
    <numFmt numFmtId="189" formatCode="[$-409]d/mmm/yy;@"/>
    <numFmt numFmtId="190" formatCode="_(* #,##0.0000_);_(* \(#,##0.0000\);_(* &quot;-&quot;??_);_(@_)"/>
    <numFmt numFmtId="191" formatCode="_(* #,##0.0_);_(* \(#,##0.0\);_(* &quot;-&quot;??_);_(@_)"/>
    <numFmt numFmtId="192" formatCode="_(* #,##0.000_);_(* \(#,##0.000\);_(* &quot;-&quot;??_);_(@_)"/>
    <numFmt numFmtId="193" formatCode="0.0%"/>
    <numFmt numFmtId="194" formatCode="#,##0_ ;[Red]\-#,##0\ "/>
    <numFmt numFmtId="195" formatCode="ddd"/>
    <numFmt numFmtId="196" formatCode="dd"/>
  </numFmts>
  <fonts count="90" x14ac:knownFonts="1">
    <font>
      <sz val="11"/>
      <color theme="1"/>
      <name val="Tahoma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name val="Tahoma"/>
      <family val="2"/>
    </font>
    <font>
      <sz val="10"/>
      <name val="Tahoma"/>
      <family val="2"/>
    </font>
    <font>
      <b/>
      <sz val="10"/>
      <color indexed="12"/>
      <name val="Tahoma"/>
      <family val="2"/>
    </font>
    <font>
      <b/>
      <sz val="14"/>
      <color indexed="12"/>
      <name val="Tahoma"/>
      <family val="2"/>
    </font>
    <font>
      <b/>
      <sz val="10"/>
      <name val="Tahoma"/>
      <family val="2"/>
    </font>
    <font>
      <b/>
      <sz val="10"/>
      <color indexed="63"/>
      <name val="Tahoma"/>
      <family val="2"/>
    </font>
    <font>
      <sz val="10"/>
      <color indexed="14"/>
      <name val="Tahoma"/>
      <family val="2"/>
    </font>
    <font>
      <sz val="8"/>
      <color indexed="60"/>
      <name val="Tahoma"/>
      <family val="2"/>
    </font>
    <font>
      <sz val="10"/>
      <color indexed="60"/>
      <name val="Tahoma"/>
      <family val="2"/>
    </font>
    <font>
      <sz val="7"/>
      <color indexed="17"/>
      <name val="Tahoma"/>
      <family val="2"/>
    </font>
    <font>
      <sz val="8"/>
      <color indexed="17"/>
      <name val="Tahoma"/>
      <family val="2"/>
    </font>
    <font>
      <sz val="10"/>
      <color indexed="17"/>
      <name val="Tahoma"/>
      <family val="2"/>
    </font>
    <font>
      <sz val="7"/>
      <color indexed="12"/>
      <name val="Tahoma"/>
      <family val="2"/>
    </font>
    <font>
      <sz val="10"/>
      <color indexed="12"/>
      <name val="Tahoma"/>
      <family val="2"/>
    </font>
    <font>
      <b/>
      <sz val="12"/>
      <color indexed="12"/>
      <name val="Tahoma"/>
      <family val="2"/>
    </font>
    <font>
      <b/>
      <sz val="10"/>
      <color indexed="17"/>
      <name val="Tahoma"/>
      <family val="2"/>
    </font>
    <font>
      <sz val="11"/>
      <name val="Arial"/>
      <family val="2"/>
    </font>
    <font>
      <u/>
      <sz val="18"/>
      <name val="Tahoma"/>
      <family val="2"/>
    </font>
    <font>
      <sz val="11"/>
      <color indexed="60"/>
      <name val="Tahoma"/>
      <family val="2"/>
    </font>
    <font>
      <sz val="11"/>
      <color indexed="17"/>
      <name val="Tahoma"/>
      <family val="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b/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i/>
      <sz val="11"/>
      <color rgb="FF7F7F7F"/>
      <name val="Tahoma"/>
      <family val="2"/>
      <scheme val="minor"/>
    </font>
    <font>
      <sz val="11"/>
      <color rgb="FF006100"/>
      <name val="Tahoma"/>
      <family val="2"/>
      <scheme val="min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3F3F76"/>
      <name val="Tahoma"/>
      <family val="2"/>
      <scheme val="minor"/>
    </font>
    <font>
      <sz val="11"/>
      <color rgb="FFFA7D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8"/>
      <color theme="3"/>
      <name val="Tahoma"/>
      <family val="2"/>
      <scheme val="maj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0"/>
      <color rgb="FF0000FF"/>
      <name val="Tahoma"/>
      <family val="2"/>
    </font>
    <font>
      <b/>
      <sz val="9"/>
      <color rgb="FF0000FF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Tahoma"/>
      <family val="2"/>
      <scheme val="minor"/>
    </font>
    <font>
      <b/>
      <sz val="7"/>
      <color rgb="FF0000FF"/>
      <name val="Tahoma"/>
      <family val="2"/>
    </font>
    <font>
      <sz val="7"/>
      <color theme="1"/>
      <name val="Tahoma"/>
      <family val="2"/>
    </font>
    <font>
      <sz val="7"/>
      <color rgb="FF0000FF"/>
      <name val="Tahoma"/>
      <family val="2"/>
    </font>
    <font>
      <b/>
      <sz val="7"/>
      <color theme="1"/>
      <name val="Tahoma"/>
      <family val="2"/>
    </font>
    <font>
      <sz val="6"/>
      <color theme="1"/>
      <name val="Tahoma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Tahoma"/>
      <family val="2"/>
    </font>
    <font>
      <sz val="12"/>
      <color theme="1"/>
      <name val="Tahoma"/>
      <family val="2"/>
    </font>
    <font>
      <b/>
      <sz val="10"/>
      <color theme="1"/>
      <name val="Tahoma"/>
      <family val="2"/>
    </font>
    <font>
      <sz val="7"/>
      <color rgb="FF000099"/>
      <name val="Tahoma"/>
      <family val="2"/>
    </font>
    <font>
      <sz val="11"/>
      <color rgb="FF000099"/>
      <name val="Arial"/>
      <family val="2"/>
    </font>
    <font>
      <sz val="11"/>
      <color rgb="FFFF0000"/>
      <name val="Arial"/>
      <family val="2"/>
    </font>
    <font>
      <sz val="11"/>
      <color theme="1"/>
      <name val="Abadi"/>
      <family val="2"/>
      <charset val="1"/>
    </font>
    <font>
      <u/>
      <sz val="12"/>
      <name val="Tahoma"/>
      <family val="2"/>
    </font>
    <font>
      <b/>
      <sz val="15"/>
      <color indexed="12"/>
      <name val="Tahoma"/>
      <family val="2"/>
    </font>
    <font>
      <sz val="12"/>
      <color indexed="12"/>
      <name val="Tahoma"/>
      <family val="2"/>
    </font>
    <font>
      <sz val="20"/>
      <color rgb="FFFF0000"/>
      <name val="Tahoma"/>
      <family val="2"/>
    </font>
    <font>
      <sz val="9"/>
      <name val="Tahoma"/>
      <family val="2"/>
    </font>
    <font>
      <sz val="12"/>
      <color indexed="60"/>
      <name val="Tahoma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color rgb="FF0000FF"/>
      <name val="Arial"/>
      <family val="2"/>
    </font>
    <font>
      <b/>
      <sz val="14"/>
      <color rgb="FF0000FF"/>
      <name val="Arial"/>
      <family val="2"/>
    </font>
    <font>
      <sz val="11"/>
      <color indexed="17"/>
      <name val="Tahoma"/>
      <family val="2"/>
    </font>
    <font>
      <sz val="10"/>
      <name val="Arial"/>
      <family val="2"/>
    </font>
    <font>
      <sz val="11"/>
      <color indexed="60"/>
      <name val="Tahoma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indexed="6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28"/>
      <color rgb="FF0000FF"/>
      <name val="Tahoma"/>
      <family val="2"/>
      <scheme val="minor"/>
    </font>
    <font>
      <b/>
      <sz val="29"/>
      <color rgb="FF0000FF"/>
      <name val="Tahoma"/>
      <family val="2"/>
      <scheme val="minor"/>
    </font>
    <font>
      <sz val="15"/>
      <name val="Tahoma"/>
      <family val="2"/>
    </font>
    <font>
      <b/>
      <sz val="32"/>
      <color rgb="FF0000FF"/>
      <name val="Tahoma"/>
      <family val="2"/>
    </font>
    <font>
      <sz val="8"/>
      <name val="Tahoma"/>
      <family val="2"/>
      <scheme val="minor"/>
    </font>
    <font>
      <sz val="10"/>
      <name val="Tahoma"/>
      <family val="2"/>
    </font>
    <font>
      <b/>
      <sz val="15"/>
      <name val="Tahoma"/>
      <family val="2"/>
    </font>
    <font>
      <sz val="9"/>
      <name val="Tahoma"/>
      <family val="2"/>
    </font>
    <font>
      <sz val="10"/>
      <color theme="0" tint="-4.9989318521683403E-2"/>
      <name val="Tahoma"/>
      <family val="2"/>
    </font>
    <font>
      <b/>
      <sz val="9"/>
      <color theme="1"/>
      <name val="Tahoma"/>
      <family val="2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ck">
        <color auto="1"/>
      </bottom>
      <diagonal/>
    </border>
  </borders>
  <cellStyleXfs count="114">
    <xf numFmtId="43" fontId="0" fillId="0" borderId="0"/>
    <xf numFmtId="43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43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43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43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43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43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43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43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43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43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43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43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43" fontId="25" fillId="14" borderId="0" applyNumberFormat="0" applyBorder="0" applyAlignment="0" applyProtection="0"/>
    <xf numFmtId="0" fontId="25" fillId="14" borderId="0" applyNumberFormat="0" applyBorder="0" applyAlignment="0" applyProtection="0"/>
    <xf numFmtId="43" fontId="25" fillId="15" borderId="0" applyNumberFormat="0" applyBorder="0" applyAlignment="0" applyProtection="0"/>
    <xf numFmtId="0" fontId="25" fillId="15" borderId="0" applyNumberFormat="0" applyBorder="0" applyAlignment="0" applyProtection="0"/>
    <xf numFmtId="43" fontId="25" fillId="16" borderId="0" applyNumberFormat="0" applyBorder="0" applyAlignment="0" applyProtection="0"/>
    <xf numFmtId="0" fontId="25" fillId="16" borderId="0" applyNumberFormat="0" applyBorder="0" applyAlignment="0" applyProtection="0"/>
    <xf numFmtId="43" fontId="25" fillId="17" borderId="0" applyNumberFormat="0" applyBorder="0" applyAlignment="0" applyProtection="0"/>
    <xf numFmtId="0" fontId="25" fillId="17" borderId="0" applyNumberFormat="0" applyBorder="0" applyAlignment="0" applyProtection="0"/>
    <xf numFmtId="43" fontId="25" fillId="18" borderId="0" applyNumberFormat="0" applyBorder="0" applyAlignment="0" applyProtection="0"/>
    <xf numFmtId="0" fontId="25" fillId="18" borderId="0" applyNumberFormat="0" applyBorder="0" applyAlignment="0" applyProtection="0"/>
    <xf numFmtId="43" fontId="25" fillId="19" borderId="0" applyNumberFormat="0" applyBorder="0" applyAlignment="0" applyProtection="0"/>
    <xf numFmtId="0" fontId="25" fillId="19" borderId="0" applyNumberFormat="0" applyBorder="0" applyAlignment="0" applyProtection="0"/>
    <xf numFmtId="43" fontId="25" fillId="20" borderId="0" applyNumberFormat="0" applyBorder="0" applyAlignment="0" applyProtection="0"/>
    <xf numFmtId="0" fontId="25" fillId="20" borderId="0" applyNumberFormat="0" applyBorder="0" applyAlignment="0" applyProtection="0"/>
    <xf numFmtId="43" fontId="25" fillId="21" borderId="0" applyNumberFormat="0" applyBorder="0" applyAlignment="0" applyProtection="0"/>
    <xf numFmtId="0" fontId="25" fillId="21" borderId="0" applyNumberFormat="0" applyBorder="0" applyAlignment="0" applyProtection="0"/>
    <xf numFmtId="43" fontId="25" fillId="22" borderId="0" applyNumberFormat="0" applyBorder="0" applyAlignment="0" applyProtection="0"/>
    <xf numFmtId="0" fontId="25" fillId="22" borderId="0" applyNumberFormat="0" applyBorder="0" applyAlignment="0" applyProtection="0"/>
    <xf numFmtId="43" fontId="25" fillId="23" borderId="0" applyNumberFormat="0" applyBorder="0" applyAlignment="0" applyProtection="0"/>
    <xf numFmtId="0" fontId="25" fillId="23" borderId="0" applyNumberFormat="0" applyBorder="0" applyAlignment="0" applyProtection="0"/>
    <xf numFmtId="43" fontId="25" fillId="24" borderId="0" applyNumberFormat="0" applyBorder="0" applyAlignment="0" applyProtection="0"/>
    <xf numFmtId="0" fontId="25" fillId="24" borderId="0" applyNumberFormat="0" applyBorder="0" applyAlignment="0" applyProtection="0"/>
    <xf numFmtId="43" fontId="25" fillId="25" borderId="0" applyNumberFormat="0" applyBorder="0" applyAlignment="0" applyProtection="0"/>
    <xf numFmtId="0" fontId="25" fillId="25" borderId="0" applyNumberFormat="0" applyBorder="0" applyAlignment="0" applyProtection="0"/>
    <xf numFmtId="43" fontId="26" fillId="26" borderId="0" applyNumberFormat="0" applyBorder="0" applyAlignment="0" applyProtection="0"/>
    <xf numFmtId="0" fontId="26" fillId="26" borderId="0" applyNumberFormat="0" applyBorder="0" applyAlignment="0" applyProtection="0"/>
    <xf numFmtId="43" fontId="27" fillId="27" borderId="51" applyNumberFormat="0" applyAlignment="0" applyProtection="0"/>
    <xf numFmtId="0" fontId="27" fillId="27" borderId="51" applyNumberFormat="0" applyAlignment="0" applyProtection="0"/>
    <xf numFmtId="43" fontId="28" fillId="28" borderId="52" applyNumberFormat="0" applyAlignment="0" applyProtection="0"/>
    <xf numFmtId="0" fontId="28" fillId="28" borderId="52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43" fontId="30" fillId="29" borderId="0" applyNumberFormat="0" applyBorder="0" applyAlignment="0" applyProtection="0"/>
    <xf numFmtId="0" fontId="30" fillId="29" borderId="0" applyNumberFormat="0" applyBorder="0" applyAlignment="0" applyProtection="0"/>
    <xf numFmtId="43" fontId="31" fillId="0" borderId="53" applyNumberFormat="0" applyFill="0" applyAlignment="0" applyProtection="0"/>
    <xf numFmtId="0" fontId="31" fillId="0" borderId="53" applyNumberFormat="0" applyFill="0" applyAlignment="0" applyProtection="0"/>
    <xf numFmtId="43" fontId="32" fillId="0" borderId="54" applyNumberFormat="0" applyFill="0" applyAlignment="0" applyProtection="0"/>
    <xf numFmtId="0" fontId="32" fillId="0" borderId="54" applyNumberFormat="0" applyFill="0" applyAlignment="0" applyProtection="0"/>
    <xf numFmtId="43" fontId="33" fillId="0" borderId="55" applyNumberFormat="0" applyFill="0" applyAlignment="0" applyProtection="0"/>
    <xf numFmtId="0" fontId="33" fillId="0" borderId="55" applyNumberFormat="0" applyFill="0" applyAlignment="0" applyProtection="0"/>
    <xf numFmtId="43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43" fontId="34" fillId="30" borderId="51" applyNumberFormat="0" applyAlignment="0" applyProtection="0"/>
    <xf numFmtId="0" fontId="34" fillId="30" borderId="51" applyNumberFormat="0" applyAlignment="0" applyProtection="0"/>
    <xf numFmtId="43" fontId="35" fillId="0" borderId="56" applyNumberFormat="0" applyFill="0" applyAlignment="0" applyProtection="0"/>
    <xf numFmtId="0" fontId="35" fillId="0" borderId="56" applyNumberFormat="0" applyFill="0" applyAlignment="0" applyProtection="0"/>
    <xf numFmtId="43" fontId="36" fillId="31" borderId="0" applyNumberFormat="0" applyBorder="0" applyAlignment="0" applyProtection="0"/>
    <xf numFmtId="0" fontId="36" fillId="31" borderId="0" applyNumberFormat="0" applyBorder="0" applyAlignment="0" applyProtection="0"/>
    <xf numFmtId="43" fontId="2" fillId="0" borderId="0"/>
    <xf numFmtId="0" fontId="2" fillId="0" borderId="0"/>
    <xf numFmtId="0" fontId="2" fillId="0" borderId="0"/>
    <xf numFmtId="43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43" fontId="24" fillId="32" borderId="57" applyNumberFormat="0" applyFont="0" applyAlignment="0" applyProtection="0"/>
    <xf numFmtId="0" fontId="24" fillId="32" borderId="57" applyNumberFormat="0" applyFont="0" applyAlignment="0" applyProtection="0"/>
    <xf numFmtId="0" fontId="24" fillId="32" borderId="57" applyNumberFormat="0" applyFont="0" applyAlignment="0" applyProtection="0"/>
    <xf numFmtId="0" fontId="24" fillId="32" borderId="57" applyNumberFormat="0" applyFont="0" applyAlignment="0" applyProtection="0"/>
    <xf numFmtId="0" fontId="24" fillId="32" borderId="57" applyNumberFormat="0" applyFont="0" applyAlignment="0" applyProtection="0"/>
    <xf numFmtId="43" fontId="37" fillId="27" borderId="58" applyNumberFormat="0" applyAlignment="0" applyProtection="0"/>
    <xf numFmtId="0" fontId="37" fillId="27" borderId="58" applyNumberFormat="0" applyAlignment="0" applyProtection="0"/>
    <xf numFmtId="43" fontId="1" fillId="0" borderId="0" applyFont="0" applyFill="0" applyBorder="0" applyAlignment="0" applyProtection="0"/>
    <xf numFmtId="43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3" fontId="39" fillId="0" borderId="59" applyNumberFormat="0" applyFill="0" applyAlignment="0" applyProtection="0"/>
    <xf numFmtId="0" fontId="39" fillId="0" borderId="59" applyNumberFormat="0" applyFill="0" applyAlignment="0" applyProtection="0"/>
    <xf numFmtId="43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3" fillId="0" borderId="0"/>
  </cellStyleXfs>
  <cellXfs count="201">
    <xf numFmtId="43" fontId="0" fillId="0" borderId="0" xfId="0"/>
    <xf numFmtId="43" fontId="5" fillId="0" borderId="0" xfId="0" applyFont="1" applyAlignment="1">
      <alignment vertical="center"/>
    </xf>
    <xf numFmtId="43" fontId="4" fillId="0" borderId="0" xfId="0" applyFont="1" applyAlignment="1">
      <alignment horizontal="center" vertical="center"/>
    </xf>
    <xf numFmtId="43" fontId="5" fillId="0" borderId="0" xfId="0" applyFont="1" applyAlignment="1">
      <alignment horizontal="center" vertical="center"/>
    </xf>
    <xf numFmtId="43" fontId="8" fillId="0" borderId="0" xfId="0" applyFont="1" applyAlignment="1">
      <alignment vertical="center"/>
    </xf>
    <xf numFmtId="43" fontId="10" fillId="0" borderId="0" xfId="0" applyFont="1" applyAlignment="1">
      <alignment vertical="center"/>
    </xf>
    <xf numFmtId="43" fontId="12" fillId="0" borderId="0" xfId="0" applyFont="1" applyAlignment="1">
      <alignment vertical="center"/>
    </xf>
    <xf numFmtId="43" fontId="17" fillId="0" borderId="0" xfId="0" applyFont="1" applyAlignment="1">
      <alignment vertical="center"/>
    </xf>
    <xf numFmtId="43" fontId="15" fillId="0" borderId="0" xfId="0" applyFont="1" applyAlignment="1">
      <alignment vertical="center"/>
    </xf>
    <xf numFmtId="43" fontId="16" fillId="0" borderId="0" xfId="0" applyFont="1" applyAlignment="1">
      <alignment vertical="center"/>
    </xf>
    <xf numFmtId="43" fontId="19" fillId="0" borderId="0" xfId="0" applyFont="1" applyAlignment="1">
      <alignment vertical="center"/>
    </xf>
    <xf numFmtId="187" fontId="8" fillId="0" borderId="0" xfId="67" applyNumberFormat="1" applyFont="1" applyFill="1" applyAlignment="1">
      <alignment vertical="center"/>
    </xf>
    <xf numFmtId="187" fontId="8" fillId="0" borderId="0" xfId="67" applyNumberFormat="1" applyFont="1" applyAlignment="1">
      <alignment vertical="center"/>
    </xf>
    <xf numFmtId="187" fontId="6" fillId="33" borderId="0" xfId="67" applyNumberFormat="1" applyFont="1" applyFill="1" applyAlignment="1">
      <alignment vertical="center"/>
    </xf>
    <xf numFmtId="43" fontId="41" fillId="0" borderId="0" xfId="0" applyFont="1" applyAlignment="1">
      <alignment vertical="center"/>
    </xf>
    <xf numFmtId="43" fontId="42" fillId="0" borderId="0" xfId="0" applyFont="1" applyAlignment="1">
      <alignment vertical="center"/>
    </xf>
    <xf numFmtId="43" fontId="0" fillId="34" borderId="1" xfId="0" applyFill="1" applyBorder="1"/>
    <xf numFmtId="43" fontId="0" fillId="34" borderId="2" xfId="0" applyFill="1" applyBorder="1"/>
    <xf numFmtId="43" fontId="0" fillId="34" borderId="3" xfId="0" applyFill="1" applyBorder="1"/>
    <xf numFmtId="43" fontId="0" fillId="34" borderId="0" xfId="0" applyFill="1"/>
    <xf numFmtId="43" fontId="0" fillId="34" borderId="4" xfId="0" applyFill="1" applyBorder="1"/>
    <xf numFmtId="43" fontId="0" fillId="34" borderId="5" xfId="0" applyFill="1" applyBorder="1"/>
    <xf numFmtId="43" fontId="43" fillId="34" borderId="0" xfId="0" applyFont="1" applyFill="1"/>
    <xf numFmtId="43" fontId="43" fillId="34" borderId="5" xfId="0" applyFont="1" applyFill="1" applyBorder="1"/>
    <xf numFmtId="43" fontId="43" fillId="34" borderId="6" xfId="0" applyFont="1" applyFill="1" applyBorder="1"/>
    <xf numFmtId="43" fontId="43" fillId="34" borderId="7" xfId="0" applyFont="1" applyFill="1" applyBorder="1"/>
    <xf numFmtId="43" fontId="0" fillId="34" borderId="8" xfId="0" applyFill="1" applyBorder="1"/>
    <xf numFmtId="43" fontId="0" fillId="34" borderId="9" xfId="0" applyFill="1" applyBorder="1"/>
    <xf numFmtId="43" fontId="0" fillId="34" borderId="10" xfId="0" applyFill="1" applyBorder="1"/>
    <xf numFmtId="43" fontId="0" fillId="34" borderId="11" xfId="0" applyFill="1" applyBorder="1"/>
    <xf numFmtId="43" fontId="0" fillId="34" borderId="12" xfId="0" applyFill="1" applyBorder="1"/>
    <xf numFmtId="43" fontId="0" fillId="34" borderId="13" xfId="0" applyFill="1" applyBorder="1"/>
    <xf numFmtId="43" fontId="44" fillId="34" borderId="0" xfId="0" applyFont="1" applyFill="1"/>
    <xf numFmtId="43" fontId="39" fillId="34" borderId="0" xfId="0" applyFont="1" applyFill="1"/>
    <xf numFmtId="188" fontId="41" fillId="35" borderId="14" xfId="0" applyNumberFormat="1" applyFont="1" applyFill="1" applyBorder="1" applyAlignment="1">
      <alignment vertical="center"/>
    </xf>
    <xf numFmtId="188" fontId="12" fillId="0" borderId="0" xfId="0" applyNumberFormat="1" applyFont="1" applyAlignment="1">
      <alignment vertical="center"/>
    </xf>
    <xf numFmtId="43" fontId="45" fillId="36" borderId="6" xfId="0" applyFont="1" applyFill="1" applyBorder="1" applyAlignment="1">
      <alignment vertical="center"/>
    </xf>
    <xf numFmtId="43" fontId="6" fillId="34" borderId="15" xfId="0" applyFont="1" applyFill="1" applyBorder="1" applyAlignment="1">
      <alignment horizontal="center" vertical="center"/>
    </xf>
    <xf numFmtId="43" fontId="6" fillId="34" borderId="16" xfId="0" applyFont="1" applyFill="1" applyBorder="1" applyAlignment="1">
      <alignment horizontal="center" vertical="center"/>
    </xf>
    <xf numFmtId="43" fontId="6" fillId="37" borderId="16" xfId="0" applyFont="1" applyFill="1" applyBorder="1" applyAlignment="1">
      <alignment horizontal="center" vertical="center"/>
    </xf>
    <xf numFmtId="43" fontId="6" fillId="37" borderId="17" xfId="0" applyFont="1" applyFill="1" applyBorder="1" applyAlignment="1">
      <alignment horizontal="center" vertical="center"/>
    </xf>
    <xf numFmtId="43" fontId="6" fillId="34" borderId="17" xfId="0" applyFont="1" applyFill="1" applyBorder="1" applyAlignment="1">
      <alignment horizontal="center" vertical="center"/>
    </xf>
    <xf numFmtId="43" fontId="6" fillId="37" borderId="18" xfId="0" applyFont="1" applyFill="1" applyBorder="1" applyAlignment="1">
      <alignment horizontal="center" vertical="center"/>
    </xf>
    <xf numFmtId="43" fontId="6" fillId="34" borderId="18" xfId="0" applyFont="1" applyFill="1" applyBorder="1" applyAlignment="1">
      <alignment horizontal="center" vertical="center"/>
    </xf>
    <xf numFmtId="43" fontId="46" fillId="38" borderId="20" xfId="0" applyFont="1" applyFill="1" applyBorder="1" applyAlignment="1">
      <alignment vertical="center"/>
    </xf>
    <xf numFmtId="43" fontId="47" fillId="34" borderId="21" xfId="0" applyFont="1" applyFill="1" applyBorder="1" applyAlignment="1">
      <alignment vertical="center"/>
    </xf>
    <xf numFmtId="43" fontId="46" fillId="34" borderId="19" xfId="0" applyFont="1" applyFill="1" applyBorder="1" applyAlignment="1">
      <alignment vertical="center"/>
    </xf>
    <xf numFmtId="43" fontId="46" fillId="34" borderId="22" xfId="0" applyFont="1" applyFill="1" applyBorder="1" applyAlignment="1">
      <alignment vertical="center"/>
    </xf>
    <xf numFmtId="43" fontId="46" fillId="34" borderId="60" xfId="0" applyFont="1" applyFill="1" applyBorder="1" applyAlignment="1">
      <alignment vertical="center"/>
    </xf>
    <xf numFmtId="43" fontId="46" fillId="38" borderId="61" xfId="0" applyFont="1" applyFill="1" applyBorder="1" applyAlignment="1">
      <alignment vertical="center"/>
    </xf>
    <xf numFmtId="43" fontId="45" fillId="0" borderId="18" xfId="0" applyFont="1" applyBorder="1" applyAlignment="1">
      <alignment horizontal="left" vertical="center"/>
    </xf>
    <xf numFmtId="43" fontId="42" fillId="36" borderId="17" xfId="0" applyFont="1" applyFill="1" applyBorder="1" applyAlignment="1">
      <alignment horizontal="center" vertical="center"/>
    </xf>
    <xf numFmtId="43" fontId="42" fillId="36" borderId="16" xfId="0" applyFont="1" applyFill="1" applyBorder="1" applyAlignment="1">
      <alignment horizontal="center" vertical="center"/>
    </xf>
    <xf numFmtId="43" fontId="48" fillId="39" borderId="23" xfId="0" applyFont="1" applyFill="1" applyBorder="1" applyAlignment="1">
      <alignment horizontal="center" vertical="center"/>
    </xf>
    <xf numFmtId="43" fontId="48" fillId="34" borderId="24" xfId="0" applyFont="1" applyFill="1" applyBorder="1" applyAlignment="1">
      <alignment horizontal="center" vertical="center"/>
    </xf>
    <xf numFmtId="43" fontId="45" fillId="40" borderId="25" xfId="0" applyFont="1" applyFill="1" applyBorder="1" applyAlignment="1">
      <alignment horizontal="center" vertical="center"/>
    </xf>
    <xf numFmtId="43" fontId="45" fillId="0" borderId="18" xfId="0" applyFont="1" applyBorder="1" applyAlignment="1">
      <alignment horizontal="center" vertical="center"/>
    </xf>
    <xf numFmtId="43" fontId="45" fillId="39" borderId="23" xfId="0" applyFont="1" applyFill="1" applyBorder="1" applyAlignment="1">
      <alignment horizontal="center" vertical="center"/>
    </xf>
    <xf numFmtId="43" fontId="6" fillId="34" borderId="26" xfId="0" applyFont="1" applyFill="1" applyBorder="1" applyAlignment="1">
      <alignment horizontal="center" vertical="center"/>
    </xf>
    <xf numFmtId="43" fontId="6" fillId="34" borderId="27" xfId="0" applyFont="1" applyFill="1" applyBorder="1" applyAlignment="1">
      <alignment horizontal="center" vertical="center"/>
    </xf>
    <xf numFmtId="43" fontId="5" fillId="0" borderId="28" xfId="0" applyFont="1" applyBorder="1" applyAlignment="1">
      <alignment horizontal="center" vertical="center"/>
    </xf>
    <xf numFmtId="43" fontId="4" fillId="0" borderId="29" xfId="0" applyFont="1" applyBorder="1" applyAlignment="1">
      <alignment horizontal="center" vertical="center"/>
    </xf>
    <xf numFmtId="43" fontId="49" fillId="34" borderId="0" xfId="0" applyFont="1" applyFill="1" applyAlignment="1">
      <alignment horizontal="center" vertical="center"/>
    </xf>
    <xf numFmtId="43" fontId="4" fillId="34" borderId="0" xfId="0" applyFont="1" applyFill="1" applyAlignment="1">
      <alignment horizontal="center" vertical="center"/>
    </xf>
    <xf numFmtId="43" fontId="5" fillId="34" borderId="0" xfId="0" applyFont="1" applyFill="1" applyAlignment="1">
      <alignment vertical="center"/>
    </xf>
    <xf numFmtId="43" fontId="6" fillId="34" borderId="0" xfId="0" applyFont="1" applyFill="1" applyAlignment="1">
      <alignment horizontal="center" vertical="center"/>
    </xf>
    <xf numFmtId="43" fontId="13" fillId="34" borderId="0" xfId="0" applyFont="1" applyFill="1" applyAlignment="1">
      <alignment vertical="center"/>
    </xf>
    <xf numFmtId="43" fontId="14" fillId="34" borderId="0" xfId="0" applyFont="1" applyFill="1" applyAlignment="1">
      <alignment horizontal="right" vertical="center"/>
    </xf>
    <xf numFmtId="43" fontId="11" fillId="41" borderId="31" xfId="0" applyFont="1" applyFill="1" applyBorder="1" applyAlignment="1">
      <alignment vertical="center"/>
    </xf>
    <xf numFmtId="43" fontId="14" fillId="0" borderId="32" xfId="0" applyFont="1" applyBorder="1" applyAlignment="1">
      <alignment vertical="center"/>
    </xf>
    <xf numFmtId="43" fontId="14" fillId="0" borderId="33" xfId="0" applyFont="1" applyBorder="1" applyAlignment="1">
      <alignment vertical="center"/>
    </xf>
    <xf numFmtId="43" fontId="11" fillId="41" borderId="34" xfId="0" applyFont="1" applyFill="1" applyBorder="1" applyAlignment="1">
      <alignment vertical="center"/>
    </xf>
    <xf numFmtId="187" fontId="9" fillId="0" borderId="0" xfId="0" applyNumberFormat="1" applyFont="1" applyAlignment="1">
      <alignment vertical="center"/>
    </xf>
    <xf numFmtId="187" fontId="8" fillId="0" borderId="0" xfId="0" applyNumberFormat="1" applyFont="1" applyAlignment="1">
      <alignment vertical="center"/>
    </xf>
    <xf numFmtId="187" fontId="50" fillId="0" borderId="35" xfId="0" applyNumberFormat="1" applyFont="1" applyBorder="1" applyAlignment="1">
      <alignment vertical="center"/>
    </xf>
    <xf numFmtId="187" fontId="50" fillId="38" borderId="36" xfId="0" applyNumberFormat="1" applyFont="1" applyFill="1" applyBorder="1" applyAlignment="1">
      <alignment vertical="center"/>
    </xf>
    <xf numFmtId="187" fontId="50" fillId="38" borderId="37" xfId="0" applyNumberFormat="1" applyFont="1" applyFill="1" applyBorder="1" applyAlignment="1">
      <alignment vertical="center"/>
    </xf>
    <xf numFmtId="187" fontId="51" fillId="36" borderId="39" xfId="0" applyNumberFormat="1" applyFont="1" applyFill="1" applyBorder="1" applyAlignment="1">
      <alignment horizontal="right" vertical="center"/>
    </xf>
    <xf numFmtId="187" fontId="51" fillId="36" borderId="40" xfId="0" applyNumberFormat="1" applyFont="1" applyFill="1" applyBorder="1" applyAlignment="1">
      <alignment horizontal="right" vertical="center"/>
    </xf>
    <xf numFmtId="187" fontId="50" fillId="34" borderId="35" xfId="0" applyNumberFormat="1" applyFont="1" applyFill="1" applyBorder="1" applyAlignment="1">
      <alignment vertical="center"/>
    </xf>
    <xf numFmtId="187" fontId="52" fillId="34" borderId="41" xfId="0" applyNumberFormat="1" applyFont="1" applyFill="1" applyBorder="1" applyAlignment="1">
      <alignment horizontal="right" vertical="center"/>
    </xf>
    <xf numFmtId="187" fontId="50" fillId="34" borderId="0" xfId="0" applyNumberFormat="1" applyFont="1" applyFill="1" applyAlignment="1">
      <alignment vertical="center"/>
    </xf>
    <xf numFmtId="187" fontId="50" fillId="34" borderId="62" xfId="0" applyNumberFormat="1" applyFont="1" applyFill="1" applyBorder="1" applyAlignment="1">
      <alignment vertical="center"/>
    </xf>
    <xf numFmtId="187" fontId="50" fillId="38" borderId="63" xfId="0" applyNumberFormat="1" applyFont="1" applyFill="1" applyBorder="1" applyAlignment="1">
      <alignment vertical="center"/>
    </xf>
    <xf numFmtId="187" fontId="50" fillId="38" borderId="64" xfId="0" applyNumberFormat="1" applyFont="1" applyFill="1" applyBorder="1" applyAlignment="1">
      <alignment vertical="center"/>
    </xf>
    <xf numFmtId="187" fontId="51" fillId="36" borderId="65" xfId="0" applyNumberFormat="1" applyFont="1" applyFill="1" applyBorder="1" applyAlignment="1">
      <alignment vertical="center"/>
    </xf>
    <xf numFmtId="187" fontId="51" fillId="36" borderId="66" xfId="0" applyNumberFormat="1" applyFont="1" applyFill="1" applyBorder="1" applyAlignment="1">
      <alignment vertical="center"/>
    </xf>
    <xf numFmtId="187" fontId="20" fillId="0" borderId="0" xfId="0" applyNumberFormat="1" applyFont="1" applyAlignment="1">
      <alignment vertical="center"/>
    </xf>
    <xf numFmtId="187" fontId="53" fillId="39" borderId="42" xfId="0" applyNumberFormat="1" applyFont="1" applyFill="1" applyBorder="1" applyAlignment="1">
      <alignment horizontal="center" vertical="center"/>
    </xf>
    <xf numFmtId="187" fontId="53" fillId="39" borderId="43" xfId="0" applyNumberFormat="1" applyFont="1" applyFill="1" applyBorder="1" applyAlignment="1">
      <alignment horizontal="center" vertical="center"/>
    </xf>
    <xf numFmtId="187" fontId="53" fillId="34" borderId="44" xfId="0" applyNumberFormat="1" applyFont="1" applyFill="1" applyBorder="1" applyAlignment="1">
      <alignment horizontal="right" vertical="center"/>
    </xf>
    <xf numFmtId="187" fontId="53" fillId="34" borderId="45" xfId="0" applyNumberFormat="1" applyFont="1" applyFill="1" applyBorder="1" applyAlignment="1">
      <alignment horizontal="right" vertical="center"/>
    </xf>
    <xf numFmtId="187" fontId="51" fillId="40" borderId="30" xfId="0" applyNumberFormat="1" applyFont="1" applyFill="1" applyBorder="1" applyAlignment="1">
      <alignment horizontal="right" vertical="center"/>
    </xf>
    <xf numFmtId="187" fontId="53" fillId="34" borderId="44" xfId="0" applyNumberFormat="1" applyFont="1" applyFill="1" applyBorder="1" applyAlignment="1">
      <alignment horizontal="center" vertical="center"/>
    </xf>
    <xf numFmtId="187" fontId="53" fillId="34" borderId="45" xfId="0" applyNumberFormat="1" applyFont="1" applyFill="1" applyBorder="1" applyAlignment="1">
      <alignment horizontal="center" vertical="center"/>
    </xf>
    <xf numFmtId="187" fontId="5" fillId="0" borderId="0" xfId="0" applyNumberFormat="1" applyFont="1" applyAlignment="1">
      <alignment vertical="center"/>
    </xf>
    <xf numFmtId="187" fontId="5" fillId="0" borderId="0" xfId="0" applyNumberFormat="1" applyFont="1" applyAlignment="1">
      <alignment horizontal="center" vertical="center"/>
    </xf>
    <xf numFmtId="187" fontId="22" fillId="41" borderId="47" xfId="0" applyNumberFormat="1" applyFont="1" applyFill="1" applyBorder="1" applyAlignment="1">
      <alignment horizontal="right" vertical="center"/>
    </xf>
    <xf numFmtId="187" fontId="23" fillId="0" borderId="48" xfId="0" applyNumberFormat="1" applyFont="1" applyBorder="1" applyAlignment="1">
      <alignment horizontal="right" vertical="center"/>
    </xf>
    <xf numFmtId="187" fontId="23" fillId="0" borderId="49" xfId="0" applyNumberFormat="1" applyFont="1" applyBorder="1" applyAlignment="1">
      <alignment horizontal="right" vertical="center"/>
    </xf>
    <xf numFmtId="187" fontId="0" fillId="34" borderId="0" xfId="0" applyNumberFormat="1" applyFill="1"/>
    <xf numFmtId="43" fontId="5" fillId="34" borderId="0" xfId="0" applyFont="1" applyFill="1" applyAlignment="1">
      <alignment horizontal="center" vertical="center"/>
    </xf>
    <xf numFmtId="43" fontId="8" fillId="34" borderId="0" xfId="0" applyFont="1" applyFill="1" applyAlignment="1">
      <alignment vertical="center"/>
    </xf>
    <xf numFmtId="43" fontId="54" fillId="34" borderId="0" xfId="0" applyFont="1" applyFill="1" applyAlignment="1">
      <alignment vertical="center"/>
    </xf>
    <xf numFmtId="43" fontId="6" fillId="34" borderId="0" xfId="0" applyFont="1" applyFill="1" applyAlignment="1">
      <alignment vertical="center"/>
    </xf>
    <xf numFmtId="43" fontId="8" fillId="34" borderId="0" xfId="0" applyFont="1" applyFill="1" applyAlignment="1">
      <alignment horizontal="center" vertical="center"/>
    </xf>
    <xf numFmtId="43" fontId="41" fillId="34" borderId="8" xfId="0" applyFont="1" applyFill="1" applyBorder="1" applyAlignment="1">
      <alignment horizontal="center" vertical="center"/>
    </xf>
    <xf numFmtId="43" fontId="57" fillId="34" borderId="67" xfId="0" applyFont="1" applyFill="1" applyBorder="1" applyAlignment="1">
      <alignment vertical="center"/>
    </xf>
    <xf numFmtId="187" fontId="58" fillId="34" borderId="68" xfId="0" applyNumberFormat="1" applyFont="1" applyFill="1" applyBorder="1" applyAlignment="1">
      <alignment vertical="center"/>
    </xf>
    <xf numFmtId="43" fontId="5" fillId="0" borderId="0" xfId="105" applyFont="1" applyAlignment="1">
      <alignment vertical="center"/>
    </xf>
    <xf numFmtId="189" fontId="7" fillId="34" borderId="0" xfId="0" quotePrefix="1" applyNumberFormat="1" applyFont="1" applyFill="1" applyAlignment="1">
      <alignment horizontal="center" vertical="center"/>
    </xf>
    <xf numFmtId="43" fontId="60" fillId="34" borderId="0" xfId="0" applyFont="1" applyFill="1"/>
    <xf numFmtId="187" fontId="23" fillId="0" borderId="72" xfId="0" applyNumberFormat="1" applyFont="1" applyBorder="1" applyAlignment="1">
      <alignment horizontal="right" vertical="center"/>
    </xf>
    <xf numFmtId="43" fontId="11" fillId="41" borderId="45" xfId="0" applyFont="1" applyFill="1" applyBorder="1" applyAlignment="1">
      <alignment vertical="center"/>
    </xf>
    <xf numFmtId="43" fontId="62" fillId="34" borderId="0" xfId="0" applyFont="1" applyFill="1" applyAlignment="1">
      <alignment horizontal="left" vertical="center"/>
    </xf>
    <xf numFmtId="187" fontId="22" fillId="44" borderId="45" xfId="0" applyNumberFormat="1" applyFont="1" applyFill="1" applyBorder="1" applyAlignment="1">
      <alignment horizontal="right" vertical="center"/>
    </xf>
    <xf numFmtId="43" fontId="63" fillId="43" borderId="45" xfId="0" applyFont="1" applyFill="1" applyBorder="1" applyAlignment="1">
      <alignment horizontal="center" vertical="center"/>
    </xf>
    <xf numFmtId="43" fontId="5" fillId="38" borderId="45" xfId="0" applyFont="1" applyFill="1" applyBorder="1" applyAlignment="1">
      <alignment vertical="center"/>
    </xf>
    <xf numFmtId="10" fontId="59" fillId="0" borderId="0" xfId="0" applyNumberFormat="1" applyFont="1" applyAlignment="1">
      <alignment vertical="center"/>
    </xf>
    <xf numFmtId="43" fontId="54" fillId="34" borderId="17" xfId="0" applyFont="1" applyFill="1" applyBorder="1" applyAlignment="1">
      <alignment horizontal="center" vertical="center"/>
    </xf>
    <xf numFmtId="43" fontId="54" fillId="34" borderId="16" xfId="0" applyFont="1" applyFill="1" applyBorder="1" applyAlignment="1">
      <alignment horizontal="center" vertical="center"/>
    </xf>
    <xf numFmtId="190" fontId="5" fillId="0" borderId="0" xfId="105" applyNumberFormat="1" applyFont="1" applyAlignment="1">
      <alignment vertical="center"/>
    </xf>
    <xf numFmtId="43" fontId="20" fillId="0" borderId="0" xfId="105" applyFont="1" applyAlignment="1">
      <alignment vertical="center"/>
    </xf>
    <xf numFmtId="43" fontId="39" fillId="0" borderId="73" xfId="0" applyFont="1" applyBorder="1"/>
    <xf numFmtId="43" fontId="0" fillId="0" borderId="73" xfId="0" applyBorder="1"/>
    <xf numFmtId="192" fontId="5" fillId="34" borderId="0" xfId="0" applyNumberFormat="1" applyFont="1" applyFill="1" applyAlignment="1">
      <alignment vertical="center"/>
    </xf>
    <xf numFmtId="43" fontId="64" fillId="34" borderId="0" xfId="0" applyFont="1" applyFill="1" applyAlignment="1">
      <alignment vertical="center"/>
    </xf>
    <xf numFmtId="191" fontId="51" fillId="36" borderId="40" xfId="0" applyNumberFormat="1" applyFont="1" applyFill="1" applyBorder="1" applyAlignment="1">
      <alignment horizontal="right" vertical="center"/>
    </xf>
    <xf numFmtId="43" fontId="48" fillId="34" borderId="74" xfId="0" applyFont="1" applyFill="1" applyBorder="1" applyAlignment="1">
      <alignment horizontal="center" vertical="center"/>
    </xf>
    <xf numFmtId="187" fontId="53" fillId="34" borderId="75" xfId="0" applyNumberFormat="1" applyFont="1" applyFill="1" applyBorder="1" applyAlignment="1">
      <alignment horizontal="right" vertical="center"/>
    </xf>
    <xf numFmtId="187" fontId="50" fillId="38" borderId="68" xfId="0" applyNumberFormat="1" applyFont="1" applyFill="1" applyBorder="1" applyAlignment="1">
      <alignment vertical="center"/>
    </xf>
    <xf numFmtId="43" fontId="46" fillId="35" borderId="67" xfId="0" applyFont="1" applyFill="1" applyBorder="1" applyAlignment="1">
      <alignment vertical="center"/>
    </xf>
    <xf numFmtId="193" fontId="59" fillId="0" borderId="0" xfId="0" applyNumberFormat="1" applyFont="1" applyAlignment="1">
      <alignment vertical="center"/>
    </xf>
    <xf numFmtId="192" fontId="65" fillId="34" borderId="0" xfId="0" applyNumberFormat="1" applyFont="1" applyFill="1" applyAlignment="1">
      <alignment vertical="center"/>
    </xf>
    <xf numFmtId="43" fontId="65" fillId="34" borderId="0" xfId="0" applyFont="1" applyFill="1" applyAlignment="1">
      <alignment vertical="center"/>
    </xf>
    <xf numFmtId="188" fontId="66" fillId="0" borderId="0" xfId="0" applyNumberFormat="1" applyFont="1" applyAlignment="1">
      <alignment vertical="center"/>
    </xf>
    <xf numFmtId="188" fontId="55" fillId="45" borderId="0" xfId="0" applyNumberFormat="1" applyFont="1" applyFill="1" applyAlignment="1">
      <alignment vertical="center"/>
    </xf>
    <xf numFmtId="188" fontId="55" fillId="42" borderId="0" xfId="0" applyNumberFormat="1" applyFont="1" applyFill="1" applyAlignment="1">
      <alignment vertical="center"/>
    </xf>
    <xf numFmtId="43" fontId="67" fillId="0" borderId="0" xfId="0" applyFont="1" applyBorder="1" applyAlignment="1">
      <alignment vertical="center"/>
    </xf>
    <xf numFmtId="194" fontId="68" fillId="0" borderId="47" xfId="0" applyNumberFormat="1" applyFont="1" applyBorder="1" applyAlignment="1">
      <alignment horizontal="center" vertical="center"/>
    </xf>
    <xf numFmtId="194" fontId="68" fillId="0" borderId="37" xfId="0" applyNumberFormat="1" applyFont="1" applyBorder="1" applyAlignment="1">
      <alignment horizontal="center" vertical="center"/>
    </xf>
    <xf numFmtId="194" fontId="69" fillId="34" borderId="76" xfId="0" applyNumberFormat="1" applyFont="1" applyFill="1" applyBorder="1" applyAlignment="1">
      <alignment horizontal="center" vertical="center"/>
    </xf>
    <xf numFmtId="194" fontId="70" fillId="34" borderId="47" xfId="0" applyNumberFormat="1" applyFont="1" applyFill="1" applyBorder="1" applyAlignment="1">
      <alignment horizontal="center" vertical="center"/>
    </xf>
    <xf numFmtId="194" fontId="70" fillId="34" borderId="37" xfId="0" applyNumberFormat="1" applyFont="1" applyFill="1" applyBorder="1" applyAlignment="1">
      <alignment horizontal="center" vertical="center"/>
    </xf>
    <xf numFmtId="194" fontId="71" fillId="46" borderId="76" xfId="0" applyNumberFormat="1" applyFont="1" applyFill="1" applyBorder="1" applyAlignment="1">
      <alignment horizontal="center" vertical="center"/>
    </xf>
    <xf numFmtId="187" fontId="72" fillId="0" borderId="49" xfId="0" applyNumberFormat="1" applyFont="1" applyBorder="1" applyAlignment="1">
      <alignment horizontal="right" vertical="center"/>
    </xf>
    <xf numFmtId="38" fontId="5" fillId="0" borderId="0" xfId="0" applyNumberFormat="1" applyFont="1" applyAlignment="1">
      <alignment vertical="center"/>
    </xf>
    <xf numFmtId="190" fontId="5" fillId="34" borderId="0" xfId="0" applyNumberFormat="1" applyFont="1" applyFill="1" applyAlignment="1">
      <alignment vertical="center"/>
    </xf>
    <xf numFmtId="187" fontId="74" fillId="41" borderId="47" xfId="0" applyNumberFormat="1" applyFont="1" applyFill="1" applyBorder="1" applyAlignment="1">
      <alignment horizontal="right" vertical="center"/>
    </xf>
    <xf numFmtId="10" fontId="75" fillId="0" borderId="0" xfId="0" applyNumberFormat="1" applyFont="1" applyAlignment="1">
      <alignment vertical="center"/>
    </xf>
    <xf numFmtId="43" fontId="17" fillId="0" borderId="0" xfId="0" applyNumberFormat="1" applyFont="1" applyAlignment="1">
      <alignment vertical="center"/>
    </xf>
    <xf numFmtId="43" fontId="76" fillId="0" borderId="0" xfId="105" applyFont="1" applyAlignment="1">
      <alignment vertical="center"/>
    </xf>
    <xf numFmtId="43" fontId="5" fillId="47" borderId="0" xfId="0" applyFont="1" applyFill="1" applyAlignment="1">
      <alignment vertical="center"/>
    </xf>
    <xf numFmtId="43" fontId="5" fillId="0" borderId="0" xfId="0" applyFont="1" applyFill="1" applyAlignment="1">
      <alignment vertical="center"/>
    </xf>
    <xf numFmtId="43" fontId="5" fillId="46" borderId="0" xfId="0" applyFont="1" applyFill="1" applyAlignment="1">
      <alignment vertical="center"/>
    </xf>
    <xf numFmtId="187" fontId="77" fillId="41" borderId="47" xfId="0" applyNumberFormat="1" applyFont="1" applyFill="1" applyBorder="1" applyAlignment="1">
      <alignment horizontal="right" vertical="center"/>
    </xf>
    <xf numFmtId="43" fontId="78" fillId="0" borderId="0" xfId="0" applyFont="1" applyAlignment="1">
      <alignment vertical="center"/>
    </xf>
    <xf numFmtId="43" fontId="79" fillId="46" borderId="0" xfId="0" applyFont="1" applyFill="1" applyAlignment="1">
      <alignment vertical="center"/>
    </xf>
    <xf numFmtId="191" fontId="51" fillId="36" borderId="66" xfId="0" applyNumberFormat="1" applyFont="1" applyFill="1" applyBorder="1" applyAlignment="1">
      <alignment vertical="center"/>
    </xf>
    <xf numFmtId="43" fontId="39" fillId="38" borderId="73" xfId="0" applyFont="1" applyFill="1" applyBorder="1"/>
    <xf numFmtId="37" fontId="39" fillId="38" borderId="73" xfId="0" applyNumberFormat="1" applyFont="1" applyFill="1" applyBorder="1" applyAlignment="1">
      <alignment horizontal="center"/>
    </xf>
    <xf numFmtId="43" fontId="0" fillId="34" borderId="77" xfId="0" applyFill="1" applyBorder="1"/>
    <xf numFmtId="43" fontId="82" fillId="42" borderId="0" xfId="0" applyFont="1" applyFill="1" applyAlignment="1">
      <alignment horizontal="left" vertical="center"/>
    </xf>
    <xf numFmtId="43" fontId="51" fillId="36" borderId="40" xfId="0" applyNumberFormat="1" applyFont="1" applyFill="1" applyBorder="1" applyAlignment="1">
      <alignment horizontal="right" vertical="center"/>
    </xf>
    <xf numFmtId="43" fontId="41" fillId="46" borderId="50" xfId="67" applyFont="1" applyFill="1" applyBorder="1" applyAlignment="1">
      <alignment vertical="center"/>
    </xf>
    <xf numFmtId="43" fontId="79" fillId="0" borderId="0" xfId="0" applyFont="1" applyFill="1" applyAlignment="1">
      <alignment vertical="center"/>
    </xf>
    <xf numFmtId="192" fontId="5" fillId="34" borderId="0" xfId="0" applyNumberFormat="1" applyFont="1" applyFill="1" applyAlignment="1">
      <alignment horizontal="center" vertical="center"/>
    </xf>
    <xf numFmtId="190" fontId="5" fillId="34" borderId="0" xfId="0" applyNumberFormat="1" applyFont="1" applyFill="1" applyAlignment="1">
      <alignment horizontal="center" vertical="center"/>
    </xf>
    <xf numFmtId="195" fontId="85" fillId="42" borderId="0" xfId="0" applyNumberFormat="1" applyFont="1" applyFill="1" applyAlignment="1">
      <alignment vertical="center"/>
    </xf>
    <xf numFmtId="195" fontId="8" fillId="38" borderId="0" xfId="0" applyNumberFormat="1" applyFont="1" applyFill="1" applyAlignment="1">
      <alignment vertical="center"/>
    </xf>
    <xf numFmtId="17" fontId="8" fillId="38" borderId="0" xfId="0" applyNumberFormat="1" applyFont="1" applyFill="1" applyAlignment="1">
      <alignment horizontal="center" vertical="center"/>
    </xf>
    <xf numFmtId="193" fontId="82" fillId="34" borderId="0" xfId="105" applyNumberFormat="1" applyFont="1" applyFill="1" applyAlignment="1">
      <alignment vertical="center"/>
    </xf>
    <xf numFmtId="43" fontId="46" fillId="49" borderId="20" xfId="0" applyFont="1" applyFill="1" applyBorder="1" applyAlignment="1">
      <alignment vertical="center"/>
    </xf>
    <xf numFmtId="187" fontId="50" fillId="49" borderId="36" xfId="0" applyNumberFormat="1" applyFont="1" applyFill="1" applyBorder="1" applyAlignment="1">
      <alignment vertical="center"/>
    </xf>
    <xf numFmtId="187" fontId="50" fillId="49" borderId="37" xfId="0" applyNumberFormat="1" applyFont="1" applyFill="1" applyBorder="1" applyAlignment="1">
      <alignment vertical="center"/>
    </xf>
    <xf numFmtId="43" fontId="47" fillId="49" borderId="21" xfId="0" applyFont="1" applyFill="1" applyBorder="1" applyAlignment="1">
      <alignment vertical="center"/>
    </xf>
    <xf numFmtId="187" fontId="52" fillId="49" borderId="41" xfId="0" applyNumberFormat="1" applyFont="1" applyFill="1" applyBorder="1" applyAlignment="1">
      <alignment horizontal="right" vertical="center"/>
    </xf>
    <xf numFmtId="187" fontId="52" fillId="49" borderId="38" xfId="0" applyNumberFormat="1" applyFont="1" applyFill="1" applyBorder="1" applyAlignment="1">
      <alignment horizontal="right" vertical="center"/>
    </xf>
    <xf numFmtId="43" fontId="45" fillId="49" borderId="6" xfId="0" applyFont="1" applyFill="1" applyBorder="1" applyAlignment="1">
      <alignment vertical="center"/>
    </xf>
    <xf numFmtId="187" fontId="51" fillId="49" borderId="39" xfId="0" applyNumberFormat="1" applyFont="1" applyFill="1" applyBorder="1" applyAlignment="1">
      <alignment horizontal="right" vertical="center"/>
    </xf>
    <xf numFmtId="187" fontId="51" fillId="49" borderId="40" xfId="0" applyNumberFormat="1" applyFont="1" applyFill="1" applyBorder="1" applyAlignment="1">
      <alignment horizontal="right" vertical="center"/>
    </xf>
    <xf numFmtId="43" fontId="45" fillId="49" borderId="8" xfId="0" applyFont="1" applyFill="1" applyBorder="1" applyAlignment="1">
      <alignment vertical="center"/>
    </xf>
    <xf numFmtId="43" fontId="46" fillId="0" borderId="19" xfId="0" applyFont="1" applyFill="1" applyBorder="1" applyAlignment="1">
      <alignment vertical="center"/>
    </xf>
    <xf numFmtId="43" fontId="41" fillId="42" borderId="50" xfId="67" applyFont="1" applyFill="1" applyBorder="1" applyAlignment="1">
      <alignment vertical="center"/>
    </xf>
    <xf numFmtId="43" fontId="87" fillId="34" borderId="0" xfId="0" applyFont="1" applyFill="1" applyAlignment="1">
      <alignment vertical="center"/>
    </xf>
    <xf numFmtId="43" fontId="39" fillId="33" borderId="0" xfId="0" applyFont="1" applyFill="1"/>
    <xf numFmtId="187" fontId="88" fillId="0" borderId="0" xfId="0" applyNumberFormat="1" applyFont="1" applyAlignment="1">
      <alignment vertical="center"/>
    </xf>
    <xf numFmtId="196" fontId="56" fillId="0" borderId="40" xfId="0" applyNumberFormat="1" applyFont="1" applyFill="1" applyBorder="1" applyAlignment="1">
      <alignment horizontal="center" vertical="center"/>
    </xf>
    <xf numFmtId="196" fontId="89" fillId="0" borderId="40" xfId="0" applyNumberFormat="1" applyFont="1" applyFill="1" applyBorder="1" applyAlignment="1">
      <alignment horizontal="center" vertical="center"/>
    </xf>
    <xf numFmtId="43" fontId="61" fillId="0" borderId="46" xfId="0" applyFont="1" applyBorder="1" applyAlignment="1">
      <alignment horizontal="right" vertical="center"/>
    </xf>
    <xf numFmtId="43" fontId="18" fillId="40" borderId="69" xfId="0" applyFont="1" applyFill="1" applyBorder="1" applyAlignment="1">
      <alignment horizontal="center" vertical="center"/>
    </xf>
    <xf numFmtId="43" fontId="18" fillId="40" borderId="70" xfId="0" applyFont="1" applyFill="1" applyBorder="1" applyAlignment="1">
      <alignment horizontal="center" vertical="center"/>
    </xf>
    <xf numFmtId="43" fontId="18" fillId="40" borderId="71" xfId="0" applyFont="1" applyFill="1" applyBorder="1" applyAlignment="1">
      <alignment horizontal="center" vertical="center"/>
    </xf>
    <xf numFmtId="43" fontId="86" fillId="48" borderId="0" xfId="0" applyFont="1" applyFill="1" applyAlignment="1">
      <alignment horizontal="center" vertical="center"/>
    </xf>
    <xf numFmtId="43" fontId="21" fillId="0" borderId="46" xfId="0" applyFont="1" applyBorder="1" applyAlignment="1">
      <alignment horizontal="center" vertical="center"/>
    </xf>
    <xf numFmtId="189" fontId="7" fillId="34" borderId="0" xfId="0" quotePrefix="1" applyNumberFormat="1" applyFont="1" applyFill="1" applyAlignment="1">
      <alignment horizontal="center" vertical="center"/>
    </xf>
    <xf numFmtId="187" fontId="56" fillId="0" borderId="28" xfId="0" applyNumberFormat="1" applyFont="1" applyBorder="1" applyAlignment="1">
      <alignment horizontal="center" vertical="center"/>
    </xf>
    <xf numFmtId="187" fontId="56" fillId="0" borderId="29" xfId="0" applyNumberFormat="1" applyFont="1" applyBorder="1" applyAlignment="1">
      <alignment horizontal="center" vertical="center"/>
    </xf>
    <xf numFmtId="17" fontId="83" fillId="34" borderId="0" xfId="0" applyNumberFormat="1" applyFont="1" applyFill="1" applyAlignment="1">
      <alignment horizontal="center" vertical="top"/>
    </xf>
    <xf numFmtId="17" fontId="80" fillId="34" borderId="0" xfId="0" applyNumberFormat="1" applyFont="1" applyFill="1" applyAlignment="1">
      <alignment horizontal="left" vertical="center"/>
    </xf>
    <xf numFmtId="17" fontId="81" fillId="34" borderId="0" xfId="0" applyNumberFormat="1" applyFont="1" applyFill="1" applyAlignment="1">
      <alignment horizontal="left" vertical="center"/>
    </xf>
  </cellXfs>
  <cellStyles count="114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2" xfId="4" builtinId="34" customBuiltin="1"/>
    <cellStyle name="20% - Accent2 2" xfId="5" xr:uid="{00000000-0005-0000-0000-000004000000}"/>
    <cellStyle name="20% - Accent2 3" xfId="6" xr:uid="{00000000-0005-0000-0000-000005000000}"/>
    <cellStyle name="20% - Accent3" xfId="7" builtinId="38" customBuiltin="1"/>
    <cellStyle name="20% - Accent3 2" xfId="8" xr:uid="{00000000-0005-0000-0000-000007000000}"/>
    <cellStyle name="20% - Accent3 3" xfId="9" xr:uid="{00000000-0005-0000-0000-000008000000}"/>
    <cellStyle name="20% - Accent4" xfId="10" builtinId="42" customBuiltin="1"/>
    <cellStyle name="20% - Accent4 2" xfId="11" xr:uid="{00000000-0005-0000-0000-00000A000000}"/>
    <cellStyle name="20% - Accent4 3" xfId="12" xr:uid="{00000000-0005-0000-0000-00000B000000}"/>
    <cellStyle name="20% - Accent5" xfId="13" builtinId="46" customBuiltin="1"/>
    <cellStyle name="20% - Accent5 2" xfId="14" xr:uid="{00000000-0005-0000-0000-00000D000000}"/>
    <cellStyle name="20% - Accent5 3" xfId="15" xr:uid="{00000000-0005-0000-0000-00000E000000}"/>
    <cellStyle name="20% - Accent6" xfId="16" builtinId="50" customBuiltin="1"/>
    <cellStyle name="20% - Accent6 2" xfId="17" xr:uid="{00000000-0005-0000-0000-000010000000}"/>
    <cellStyle name="20% - Accent6 3" xfId="18" xr:uid="{00000000-0005-0000-0000-000011000000}"/>
    <cellStyle name="40% - Accent1" xfId="19" builtinId="31" customBuiltin="1"/>
    <cellStyle name="40% - Accent1 2" xfId="20" xr:uid="{00000000-0005-0000-0000-000013000000}"/>
    <cellStyle name="40% - Accent1 3" xfId="21" xr:uid="{00000000-0005-0000-0000-000014000000}"/>
    <cellStyle name="40% - Accent2" xfId="22" builtinId="35" customBuiltin="1"/>
    <cellStyle name="40% - Accent2 2" xfId="23" xr:uid="{00000000-0005-0000-0000-000016000000}"/>
    <cellStyle name="40% - Accent2 3" xfId="24" xr:uid="{00000000-0005-0000-0000-000017000000}"/>
    <cellStyle name="40% - Accent3" xfId="25" builtinId="39" customBuiltin="1"/>
    <cellStyle name="40% - Accent3 2" xfId="26" xr:uid="{00000000-0005-0000-0000-000019000000}"/>
    <cellStyle name="40% - Accent3 3" xfId="27" xr:uid="{00000000-0005-0000-0000-00001A000000}"/>
    <cellStyle name="40% - Accent4" xfId="28" builtinId="43" customBuiltin="1"/>
    <cellStyle name="40% - Accent4 2" xfId="29" xr:uid="{00000000-0005-0000-0000-00001C000000}"/>
    <cellStyle name="40% - Accent4 3" xfId="30" xr:uid="{00000000-0005-0000-0000-00001D000000}"/>
    <cellStyle name="40% - Accent5" xfId="31" builtinId="47" customBuiltin="1"/>
    <cellStyle name="40% - Accent5 2" xfId="32" xr:uid="{00000000-0005-0000-0000-00001F000000}"/>
    <cellStyle name="40% - Accent5 3" xfId="33" xr:uid="{00000000-0005-0000-0000-000020000000}"/>
    <cellStyle name="40% - Accent6" xfId="34" builtinId="51" customBuiltin="1"/>
    <cellStyle name="40% - Accent6 2" xfId="35" xr:uid="{00000000-0005-0000-0000-000022000000}"/>
    <cellStyle name="40% - Accent6 3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" xfId="67" builtinId="3"/>
    <cellStyle name="Comma 10" xfId="68" xr:uid="{00000000-0005-0000-0000-000043000000}"/>
    <cellStyle name="Comma 2" xfId="69" xr:uid="{00000000-0005-0000-0000-000044000000}"/>
    <cellStyle name="Comma 8" xfId="70" xr:uid="{00000000-0005-0000-0000-000045000000}"/>
    <cellStyle name="Explanatory Text" xfId="71" builtinId="53" customBuiltin="1"/>
    <cellStyle name="Explanatory Text 2" xfId="72" xr:uid="{00000000-0005-0000-0000-000047000000}"/>
    <cellStyle name="Good" xfId="73" builtinId="26" customBuiltin="1"/>
    <cellStyle name="Good 2" xfId="74" xr:uid="{00000000-0005-0000-0000-000049000000}"/>
    <cellStyle name="Heading 1" xfId="75" builtinId="16" customBuiltin="1"/>
    <cellStyle name="Heading 1 2" xfId="76" xr:uid="{00000000-0005-0000-0000-00004B000000}"/>
    <cellStyle name="Heading 2" xfId="77" builtinId="17" customBuiltin="1"/>
    <cellStyle name="Heading 2 2" xfId="78" xr:uid="{00000000-0005-0000-0000-00004D000000}"/>
    <cellStyle name="Heading 3" xfId="79" builtinId="18" customBuiltin="1"/>
    <cellStyle name="Heading 3 2" xfId="80" xr:uid="{00000000-0005-0000-0000-00004F000000}"/>
    <cellStyle name="Heading 4" xfId="81" builtinId="19" customBuiltin="1"/>
    <cellStyle name="Heading 4 2" xfId="82" xr:uid="{00000000-0005-0000-0000-000051000000}"/>
    <cellStyle name="Input" xfId="83" builtinId="20" customBuiltin="1"/>
    <cellStyle name="Input 2" xfId="84" xr:uid="{00000000-0005-0000-0000-000053000000}"/>
    <cellStyle name="Linked Cell" xfId="85" builtinId="24" customBuiltin="1"/>
    <cellStyle name="Linked Cell 2" xfId="86" xr:uid="{00000000-0005-0000-0000-000055000000}"/>
    <cellStyle name="Neutral" xfId="87" builtinId="28" customBuiltin="1"/>
    <cellStyle name="Neutral 2" xfId="88" xr:uid="{00000000-0005-0000-0000-000057000000}"/>
    <cellStyle name="Normal" xfId="0" builtinId="0"/>
    <cellStyle name="Normal 2" xfId="89" xr:uid="{00000000-0005-0000-0000-000059000000}"/>
    <cellStyle name="Normal 2 2" xfId="90" xr:uid="{00000000-0005-0000-0000-00005A000000}"/>
    <cellStyle name="Normal 2 3" xfId="91" xr:uid="{00000000-0005-0000-0000-00005B000000}"/>
    <cellStyle name="Normal 3" xfId="92" xr:uid="{00000000-0005-0000-0000-00005C000000}"/>
    <cellStyle name="Normal 3 2" xfId="93" xr:uid="{00000000-0005-0000-0000-00005D000000}"/>
    <cellStyle name="Normal 3 3" xfId="94" xr:uid="{00000000-0005-0000-0000-00005E000000}"/>
    <cellStyle name="Normal 4" xfId="113" xr:uid="{6EC17893-B697-4F7B-B745-1B52E184F5E2}"/>
    <cellStyle name="Normal 4 2" xfId="95" xr:uid="{00000000-0005-0000-0000-00005F000000}"/>
    <cellStyle name="Normal 4 3" xfId="96" xr:uid="{00000000-0005-0000-0000-000060000000}"/>
    <cellStyle name="Normal 5" xfId="97" xr:uid="{00000000-0005-0000-0000-000061000000}"/>
    <cellStyle name="Note 2" xfId="98" xr:uid="{00000000-0005-0000-0000-000062000000}"/>
    <cellStyle name="Note 2 2" xfId="99" xr:uid="{00000000-0005-0000-0000-000063000000}"/>
    <cellStyle name="Note 2 3" xfId="100" xr:uid="{00000000-0005-0000-0000-000064000000}"/>
    <cellStyle name="Note 3" xfId="101" xr:uid="{00000000-0005-0000-0000-000065000000}"/>
    <cellStyle name="Note 4" xfId="102" xr:uid="{00000000-0005-0000-0000-000066000000}"/>
    <cellStyle name="Output" xfId="103" builtinId="21" customBuiltin="1"/>
    <cellStyle name="Output 2" xfId="104" xr:uid="{00000000-0005-0000-0000-000068000000}"/>
    <cellStyle name="Percent" xfId="105" builtinId="5"/>
    <cellStyle name="Title 2" xfId="106" xr:uid="{00000000-0005-0000-0000-00006A000000}"/>
    <cellStyle name="Title 2 2" xfId="107" xr:uid="{00000000-0005-0000-0000-00006B000000}"/>
    <cellStyle name="Title 2 3" xfId="108" xr:uid="{00000000-0005-0000-0000-00006C000000}"/>
    <cellStyle name="Total" xfId="109" builtinId="25" customBuiltin="1"/>
    <cellStyle name="Total 2" xfId="110" xr:uid="{00000000-0005-0000-0000-00006E000000}"/>
    <cellStyle name="Warning Text" xfId="111" builtinId="11" customBuiltin="1"/>
    <cellStyle name="Warning Text 2" xfId="112" xr:uid="{00000000-0005-0000-0000-000070000000}"/>
  </cellStyles>
  <dxfs count="2">
    <dxf>
      <fill>
        <patternFill>
          <bgColor rgb="FFFFFF00"/>
        </patternFill>
      </fill>
      <border>
        <vertical/>
        <horizontal/>
      </border>
    </dxf>
    <dxf>
      <fill>
        <patternFill>
          <bgColor rgb="FFFFFF00"/>
        </patternFill>
      </fill>
      <border>
        <vertical/>
        <horizontal/>
      </border>
    </dxf>
  </dxfs>
  <tableStyles count="0" defaultTableStyle="TableStyleMedium9" defaultPivotStyle="PivotStyleLight16"/>
  <colors>
    <mruColors>
      <color rgb="FF0000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12.xml"/><Relationship Id="rId4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320175746041155E-2"/>
          <c:y val="0.13117293013061754"/>
          <c:w val="0.88490348592192702"/>
          <c:h val="0.75990762482201613"/>
        </c:manualLayout>
      </c:layout>
      <c:lineChart>
        <c:grouping val="standard"/>
        <c:varyColors val="0"/>
        <c:ser>
          <c:idx val="0"/>
          <c:order val="0"/>
          <c:tx>
            <c:strRef>
              <c:f>Data!$B$65</c:f>
              <c:strCache>
                <c:ptCount val="1"/>
                <c:pt idx="0">
                  <c:v> ACC PLAN 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FF00"/>
              </a:solidFill>
              <a:ln w="9525" cap="rnd">
                <a:solidFill>
                  <a:schemeClr val="accent2">
                    <a:lumMod val="75000"/>
                  </a:schemeClr>
                </a:solidFill>
                <a:round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/>
              <a:lstStyle/>
              <a:p>
                <a:pPr algn="ctr"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Data!$C$65:$AG$65</c:f>
              <c:numCache>
                <c:formatCode>_(* #,##0_);_(* \(#,##0\);_(* "-"??_);_(@_)</c:formatCode>
                <c:ptCount val="31"/>
                <c:pt idx="0">
                  <c:v>1807.2290893681024</c:v>
                </c:pt>
                <c:pt idx="1">
                  <c:v>3614.4581787362049</c:v>
                </c:pt>
                <c:pt idx="2">
                  <c:v>5421.6872681043078</c:v>
                </c:pt>
                <c:pt idx="3">
                  <c:v>7228.9163574724098</c:v>
                </c:pt>
                <c:pt idx="4">
                  <c:v>9036.1454468405118</c:v>
                </c:pt>
                <c:pt idx="5">
                  <c:v>10843.374536208614</c:v>
                </c:pt>
                <c:pt idx="6">
                  <c:v>12650.603625576716</c:v>
                </c:pt>
                <c:pt idx="7">
                  <c:v>14457.832714944818</c:v>
                </c:pt>
                <c:pt idx="8">
                  <c:v>16265.06180431292</c:v>
                </c:pt>
                <c:pt idx="9">
                  <c:v>18072.290893681024</c:v>
                </c:pt>
                <c:pt idx="10">
                  <c:v>19879.519983049126</c:v>
                </c:pt>
                <c:pt idx="11">
                  <c:v>21686.749072417228</c:v>
                </c:pt>
                <c:pt idx="12">
                  <c:v>23493.97816178533</c:v>
                </c:pt>
                <c:pt idx="13">
                  <c:v>25301.207251153432</c:v>
                </c:pt>
                <c:pt idx="14">
                  <c:v>27108.436340521534</c:v>
                </c:pt>
                <c:pt idx="15">
                  <c:v>28915.665429889636</c:v>
                </c:pt>
                <c:pt idx="16">
                  <c:v>30722.894519257738</c:v>
                </c:pt>
                <c:pt idx="17">
                  <c:v>32530.12360862584</c:v>
                </c:pt>
                <c:pt idx="18">
                  <c:v>34337.352697993942</c:v>
                </c:pt>
                <c:pt idx="19">
                  <c:v>36144.581787362047</c:v>
                </c:pt>
                <c:pt idx="20">
                  <c:v>37951.810876730153</c:v>
                </c:pt>
                <c:pt idx="21">
                  <c:v>39759.039966098258</c:v>
                </c:pt>
                <c:pt idx="22">
                  <c:v>41566.269055466364</c:v>
                </c:pt>
                <c:pt idx="23">
                  <c:v>43373.49814483447</c:v>
                </c:pt>
                <c:pt idx="24">
                  <c:v>45180.727234202575</c:v>
                </c:pt>
                <c:pt idx="25">
                  <c:v>46987.956323570681</c:v>
                </c:pt>
                <c:pt idx="26">
                  <c:v>48795.185412938787</c:v>
                </c:pt>
                <c:pt idx="27">
                  <c:v>50602.414502306892</c:v>
                </c:pt>
                <c:pt idx="28">
                  <c:v>52409.643591674998</c:v>
                </c:pt>
                <c:pt idx="29">
                  <c:v>54216.872681043104</c:v>
                </c:pt>
                <c:pt idx="30">
                  <c:v>56024.101770411209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7-4CF6-A40E-E9D16478335E}"/>
            </c:ext>
          </c:extLst>
        </c:ser>
        <c:ser>
          <c:idx val="1"/>
          <c:order val="1"/>
          <c:tx>
            <c:strRef>
              <c:f>Data!$B$66</c:f>
              <c:strCache>
                <c:ptCount val="1"/>
                <c:pt idx="0">
                  <c:v> ACC ANNUAL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 w="3175">
                <a:solidFill>
                  <a:srgbClr val="7030A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Data!$C$66:$AG$66</c:f>
              <c:numCache>
                <c:formatCode>_(* #,##0_);_(* \(#,##0\);_(* "-"??_);_(@_)</c:formatCode>
                <c:ptCount val="31"/>
                <c:pt idx="0">
                  <c:v>2210.3621529953916</c:v>
                </c:pt>
                <c:pt idx="1">
                  <c:v>4420.7243059907833</c:v>
                </c:pt>
                <c:pt idx="2">
                  <c:v>6631.0864589861749</c:v>
                </c:pt>
                <c:pt idx="3">
                  <c:v>8841.4486119815665</c:v>
                </c:pt>
                <c:pt idx="4">
                  <c:v>11051.810764976959</c:v>
                </c:pt>
                <c:pt idx="5">
                  <c:v>13262.172917972352</c:v>
                </c:pt>
                <c:pt idx="6">
                  <c:v>15472.535070967744</c:v>
                </c:pt>
                <c:pt idx="7">
                  <c:v>17682.897223963137</c:v>
                </c:pt>
                <c:pt idx="8">
                  <c:v>19893.259376958529</c:v>
                </c:pt>
                <c:pt idx="9">
                  <c:v>22103.621529953922</c:v>
                </c:pt>
                <c:pt idx="10">
                  <c:v>24313.983682949314</c:v>
                </c:pt>
                <c:pt idx="11">
                  <c:v>26524.345835944707</c:v>
                </c:pt>
                <c:pt idx="12">
                  <c:v>28734.707988940099</c:v>
                </c:pt>
                <c:pt idx="13">
                  <c:v>30945.070141935492</c:v>
                </c:pt>
                <c:pt idx="14">
                  <c:v>33155.432294930884</c:v>
                </c:pt>
                <c:pt idx="15">
                  <c:v>35365.794447926273</c:v>
                </c:pt>
                <c:pt idx="16">
                  <c:v>37576.156600921662</c:v>
                </c:pt>
                <c:pt idx="17">
                  <c:v>39786.518753917051</c:v>
                </c:pt>
                <c:pt idx="18">
                  <c:v>41996.88090691244</c:v>
                </c:pt>
                <c:pt idx="19">
                  <c:v>44207.243059907829</c:v>
                </c:pt>
                <c:pt idx="20">
                  <c:v>46417.605212903218</c:v>
                </c:pt>
                <c:pt idx="21">
                  <c:v>48627.967365898607</c:v>
                </c:pt>
                <c:pt idx="22">
                  <c:v>50838.329518893996</c:v>
                </c:pt>
                <c:pt idx="23">
                  <c:v>53048.691671889384</c:v>
                </c:pt>
                <c:pt idx="24">
                  <c:v>55259.053824884773</c:v>
                </c:pt>
                <c:pt idx="25">
                  <c:v>57469.415977880162</c:v>
                </c:pt>
                <c:pt idx="26">
                  <c:v>59679.778130875551</c:v>
                </c:pt>
                <c:pt idx="27">
                  <c:v>61890.14028387094</c:v>
                </c:pt>
                <c:pt idx="28">
                  <c:v>64100.502436866329</c:v>
                </c:pt>
                <c:pt idx="29">
                  <c:v>66310.864589861725</c:v>
                </c:pt>
                <c:pt idx="30">
                  <c:v>68521.226742857121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7-4CF6-A40E-E9D16478335E}"/>
            </c:ext>
          </c:extLst>
        </c:ser>
        <c:ser>
          <c:idx val="2"/>
          <c:order val="2"/>
          <c:tx>
            <c:strRef>
              <c:f>Data!$B$67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 w="3175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/>
              <a:lstStyle/>
              <a:p>
                <a:pPr algn="ctr"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Data!$C$67:$AG$67</c:f>
              <c:numCache>
                <c:formatCode>_(* #,##0_);_(* \(#,##0\);_(* "-"??_);_(@_)</c:formatCode>
                <c:ptCount val="31"/>
                <c:pt idx="0">
                  <c:v>1493.5224718869999</c:v>
                </c:pt>
                <c:pt idx="1">
                  <c:v>4110.0297388189992</c:v>
                </c:pt>
                <c:pt idx="2">
                  <c:v>5200.3471147019991</c:v>
                </c:pt>
                <c:pt idx="3">
                  <c:v>7258.5366624199996</c:v>
                </c:pt>
                <c:pt idx="4">
                  <c:v>9902.4573972110011</c:v>
                </c:pt>
                <c:pt idx="5">
                  <c:v>11542.379864847002</c:v>
                </c:pt>
                <c:pt idx="6">
                  <c:v>13290.170396426001</c:v>
                </c:pt>
                <c:pt idx="7">
                  <c:v>14842.648251710001</c:v>
                </c:pt>
                <c:pt idx="8">
                  <c:v>19239.606466949001</c:v>
                </c:pt>
                <c:pt idx="9">
                  <c:v>20969.611901223001</c:v>
                </c:pt>
                <c:pt idx="10">
                  <c:v>22964.349106793001</c:v>
                </c:pt>
                <c:pt idx="11">
                  <c:v>24726.682504778</c:v>
                </c:pt>
                <c:pt idx="12">
                  <c:v>26327.995765247</c:v>
                </c:pt>
                <c:pt idx="13">
                  <c:v>27852.326041733002</c:v>
                </c:pt>
                <c:pt idx="14">
                  <c:v>29451.083613984003</c:v>
                </c:pt>
                <c:pt idx="15">
                  <c:v>32909.941311427006</c:v>
                </c:pt>
                <c:pt idx="16">
                  <c:v>34593.36815799601</c:v>
                </c:pt>
                <c:pt idx="17">
                  <c:v>36687.950820726008</c:v>
                </c:pt>
                <c:pt idx="18">
                  <c:v>38257.195807724005</c:v>
                </c:pt>
                <c:pt idx="19">
                  <c:v>39989.332566100005</c:v>
                </c:pt>
                <c:pt idx="20">
                  <c:v>41684.074156488008</c:v>
                </c:pt>
                <c:pt idx="21">
                  <c:v>43352.249622536008</c:v>
                </c:pt>
                <c:pt idx="22">
                  <c:v>47127.598825220011</c:v>
                </c:pt>
                <c:pt idx="23">
                  <c:v>49183.489366834008</c:v>
                </c:pt>
                <c:pt idx="24">
                  <c:v>50796.477523923008</c:v>
                </c:pt>
                <c:pt idx="25">
                  <c:v>53168.09018420201</c:v>
                </c:pt>
                <c:pt idx="26">
                  <c:v>55051.182993036011</c:v>
                </c:pt>
                <c:pt idx="27">
                  <c:v>56790.886696742011</c:v>
                </c:pt>
                <c:pt idx="28">
                  <c:v>58409.298172298011</c:v>
                </c:pt>
                <c:pt idx="29">
                  <c:v>65208.906846901016</c:v>
                </c:pt>
                <c:pt idx="30">
                  <c:v>66685.315762520011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B-4858-922F-D0EF0BB1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06271"/>
        <c:axId val="1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Data!$C$22</c15:sqref>
                        </c15:formulaRef>
                      </c:ext>
                    </c:extLst>
                    <c:strCache>
                      <c:ptCount val="1"/>
                      <c:pt idx="0">
                        <c:v> 622 </c:v>
                      </c:pt>
                    </c:strCache>
                  </c:strRef>
                </c:tx>
                <c:val>
                  <c:numRef>
                    <c:extLst>
                      <c:ext uri="{02D57815-91ED-43cb-92C2-25804820EDAC}">
                        <c15:formulaRef>
                          <c15:sqref>Data!$D$22:$AG$22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30"/>
                      <c:pt idx="0">
                        <c:v>680.49577980000015</c:v>
                      </c:pt>
                      <c:pt idx="1">
                        <c:v>375.122820375</c:v>
                      </c:pt>
                      <c:pt idx="2">
                        <c:v>702.21911714999999</c:v>
                      </c:pt>
                      <c:pt idx="3">
                        <c:v>1545.6886887749999</c:v>
                      </c:pt>
                      <c:pt idx="4">
                        <c:v>626.6516102999999</c:v>
                      </c:pt>
                      <c:pt idx="5">
                        <c:v>936.77883547500016</c:v>
                      </c:pt>
                      <c:pt idx="6">
                        <c:v>767.28785490000007</c:v>
                      </c:pt>
                      <c:pt idx="7">
                        <c:v>942.28890757500005</c:v>
                      </c:pt>
                      <c:pt idx="8">
                        <c:v>701.5101970500001</c:v>
                      </c:pt>
                      <c:pt idx="9">
                        <c:v>910.8104170500003</c:v>
                      </c:pt>
                      <c:pt idx="10">
                        <c:v>694.78389562500001</c:v>
                      </c:pt>
                      <c:pt idx="11">
                        <c:v>905.02309092500025</c:v>
                      </c:pt>
                      <c:pt idx="12">
                        <c:v>728.51667705000011</c:v>
                      </c:pt>
                      <c:pt idx="13">
                        <c:v>895.99905067500026</c:v>
                      </c:pt>
                      <c:pt idx="14">
                        <c:v>600.00802987500003</c:v>
                      </c:pt>
                      <c:pt idx="15">
                        <c:v>887.02783560000012</c:v>
                      </c:pt>
                      <c:pt idx="16">
                        <c:v>1045.8090589500005</c:v>
                      </c:pt>
                      <c:pt idx="17">
                        <c:v>775.67674275000024</c:v>
                      </c:pt>
                      <c:pt idx="18">
                        <c:v>712.63349100000016</c:v>
                      </c:pt>
                      <c:pt idx="19">
                        <c:v>736.02785430000017</c:v>
                      </c:pt>
                      <c:pt idx="20">
                        <c:v>893.00301930000023</c:v>
                      </c:pt>
                      <c:pt idx="21">
                        <c:v>958.41621470000052</c:v>
                      </c:pt>
                      <c:pt idx="22">
                        <c:v>1028.8087298500004</c:v>
                      </c:pt>
                      <c:pt idx="23">
                        <c:v>687.52590412500012</c:v>
                      </c:pt>
                      <c:pt idx="24">
                        <c:v>744.1551168750002</c:v>
                      </c:pt>
                      <c:pt idx="25">
                        <c:v>1119.7230440500007</c:v>
                      </c:pt>
                      <c:pt idx="26">
                        <c:v>886.74089175000029</c:v>
                      </c:pt>
                      <c:pt idx="27">
                        <c:v>907.75530900000047</c:v>
                      </c:pt>
                      <c:pt idx="28">
                        <c:v>5434.7755956750007</c:v>
                      </c:pt>
                      <c:pt idx="29">
                        <c:v>782.26801177499988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4AC-490C-8452-9D1A560A39F6}"/>
                  </c:ext>
                </c:extLst>
              </c15:ser>
            </c15:filteredLineSeries>
          </c:ext>
        </c:extLst>
      </c:lineChart>
      <c:catAx>
        <c:axId val="65500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25400">
            <a:solidFill>
              <a:srgbClr val="7030A0"/>
            </a:solidFill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5000"/>
          <c:min val="0"/>
        </c:scaling>
        <c:delete val="0"/>
        <c:axPos val="l"/>
        <c:majorGridlines>
          <c:spPr>
            <a:ln w="3175">
              <a:solidFill>
                <a:schemeClr val="accent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0"/>
              <c:y val="0.45762312889002954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rgbClr val="0816CA">
                <a:alpha val="98000"/>
              </a:srgbClr>
            </a:solidFill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55006271"/>
        <c:crosses val="autoZero"/>
        <c:crossBetween val="between"/>
        <c:majorUnit val="5000"/>
        <c:minorUnit val="1000"/>
      </c:valAx>
      <c:dTable>
        <c:showHorzBorder val="1"/>
        <c:showVertBorder val="1"/>
        <c:showOutline val="1"/>
        <c:showKeys val="1"/>
        <c:spPr>
          <a:noFill/>
          <a:ln w="6350">
            <a:solidFill>
              <a:srgbClr val="0000FF"/>
            </a:solidFill>
          </a:ln>
          <a:effectLst>
            <a:outerShdw blurRad="50800" dist="50800" dir="5400000" algn="ctr" rotWithShape="0">
              <a:schemeClr val="bg1"/>
            </a:outerShdw>
          </a:effectLst>
        </c:spPr>
      </c:dTable>
      <c:spPr>
        <a:noFill/>
        <a:ln w="25400">
          <a:solidFill>
            <a:srgbClr val="4F81BD"/>
          </a:solidFill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Footer>&amp;R&amp;"Tahoma,Regular"&amp;10Production Control   Div.</c:oddFooter>
    </c:headerFooter>
    <c:pageMargins b="0.5" l="0.2" r="0.2" t="0.5" header="0.30000000000000032" footer="0.30000000000000032"/>
    <c:pageSetup paperSize="8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9983423124741"/>
          <c:y val="0.12661182180099739"/>
          <c:w val="0.87386739176213157"/>
          <c:h val="0.7147975525325263"/>
        </c:manualLayout>
      </c:layout>
      <c:lineChart>
        <c:grouping val="standard"/>
        <c:varyColors val="0"/>
        <c:ser>
          <c:idx val="0"/>
          <c:order val="0"/>
          <c:tx>
            <c:strRef>
              <c:f>Data!$B$71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numFmt formatCode="_(* #,##0_);_(* \(#,##0\);_(* &quot;-&quot;_);_(@_)" sourceLinked="0"/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Data!$C$70:$AG$70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Data!$C$71:$AG$71</c:f>
              <c:numCache>
                <c:formatCode>_(* #,##0_);_(* \(#,##0\);_(* "-"??_);_(@_)</c:formatCode>
                <c:ptCount val="31"/>
                <c:pt idx="0">
                  <c:v>284.43713920352837</c:v>
                </c:pt>
                <c:pt idx="1">
                  <c:v>568.87427840705675</c:v>
                </c:pt>
                <c:pt idx="2">
                  <c:v>853.31141761058518</c:v>
                </c:pt>
                <c:pt idx="3">
                  <c:v>1137.7485568141135</c:v>
                </c:pt>
                <c:pt idx="4">
                  <c:v>1422.1856960176419</c:v>
                </c:pt>
                <c:pt idx="5">
                  <c:v>1706.6228352211704</c:v>
                </c:pt>
                <c:pt idx="6">
                  <c:v>1991.0599744246988</c:v>
                </c:pt>
                <c:pt idx="7">
                  <c:v>2275.4971136282275</c:v>
                </c:pt>
                <c:pt idx="8">
                  <c:v>2559.9342528317557</c:v>
                </c:pt>
                <c:pt idx="9">
                  <c:v>2844.3713920352839</c:v>
                </c:pt>
                <c:pt idx="10">
                  <c:v>3128.8085312388125</c:v>
                </c:pt>
                <c:pt idx="11">
                  <c:v>3413.2456704423412</c:v>
                </c:pt>
                <c:pt idx="12">
                  <c:v>3697.6828096458694</c:v>
                </c:pt>
                <c:pt idx="13">
                  <c:v>3982.1199488493976</c:v>
                </c:pt>
                <c:pt idx="14">
                  <c:v>4266.5570880529267</c:v>
                </c:pt>
                <c:pt idx="15">
                  <c:v>4550.9942272564549</c:v>
                </c:pt>
                <c:pt idx="16">
                  <c:v>4835.4313664599831</c:v>
                </c:pt>
                <c:pt idx="17">
                  <c:v>5119.8685056635113</c:v>
                </c:pt>
                <c:pt idx="18">
                  <c:v>5404.3056448670395</c:v>
                </c:pt>
                <c:pt idx="19">
                  <c:v>5688.7427840705686</c:v>
                </c:pt>
                <c:pt idx="20">
                  <c:v>5973.1799232740968</c:v>
                </c:pt>
                <c:pt idx="21">
                  <c:v>6257.617062477625</c:v>
                </c:pt>
                <c:pt idx="22">
                  <c:v>6542.0542016811542</c:v>
                </c:pt>
                <c:pt idx="23">
                  <c:v>6826.4913408846824</c:v>
                </c:pt>
                <c:pt idx="24">
                  <c:v>7110.9284800882106</c:v>
                </c:pt>
                <c:pt idx="25">
                  <c:v>7395.3656192917397</c:v>
                </c:pt>
                <c:pt idx="26">
                  <c:v>7679.8027584952688</c:v>
                </c:pt>
                <c:pt idx="27">
                  <c:v>7964.239897698797</c:v>
                </c:pt>
                <c:pt idx="28">
                  <c:v>8248.6770369023252</c:v>
                </c:pt>
                <c:pt idx="29">
                  <c:v>8533.1141761058534</c:v>
                </c:pt>
                <c:pt idx="30">
                  <c:v>8817.5513153093834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0-41B0-88EA-C0ACF50CFB16}"/>
            </c:ext>
          </c:extLst>
        </c:ser>
        <c:ser>
          <c:idx val="1"/>
          <c:order val="1"/>
          <c:tx>
            <c:strRef>
              <c:f>Data!$B$72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dLbl>
              <c:idx val="21"/>
              <c:spPr/>
              <c:txPr>
                <a:bodyPr rot="1800000" vert="horz"/>
                <a:lstStyle/>
                <a:p>
                  <a:pPr algn="ctr">
                    <a:defRPr sz="800" b="1" i="0" u="none" strike="noStrike" baseline="0">
                      <a:solidFill>
                        <a:srgbClr val="0000FF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40-41B0-88EA-C0ACF50CFB16}"/>
                </c:ext>
              </c:extLst>
            </c:dLbl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8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Data!$C$70:$AG$70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Data!$C$72:$AG$72</c:f>
              <c:numCache>
                <c:formatCode>_(* #,##0_);_(* \(#,##0\);_(* "-"??_);_(@_)</c:formatCode>
                <c:ptCount val="31"/>
                <c:pt idx="0">
                  <c:v>324.04275159999986</c:v>
                </c:pt>
                <c:pt idx="1">
                  <c:v>694.20281869999974</c:v>
                </c:pt>
                <c:pt idx="2">
                  <c:v>1041.6699407999997</c:v>
                </c:pt>
                <c:pt idx="3">
                  <c:v>1383.4494481999996</c:v>
                </c:pt>
                <c:pt idx="4">
                  <c:v>1721.3605273999997</c:v>
                </c:pt>
                <c:pt idx="5">
                  <c:v>2031.9075407999999</c:v>
                </c:pt>
                <c:pt idx="6">
                  <c:v>2392.7716273999995</c:v>
                </c:pt>
                <c:pt idx="7">
                  <c:v>2732.6031673999996</c:v>
                </c:pt>
                <c:pt idx="8">
                  <c:v>3135.1947661999998</c:v>
                </c:pt>
                <c:pt idx="9">
                  <c:v>3497.6792415999998</c:v>
                </c:pt>
                <c:pt idx="10">
                  <c:v>3876.8477201999999</c:v>
                </c:pt>
                <c:pt idx="11">
                  <c:v>4193.0060800000001</c:v>
                </c:pt>
                <c:pt idx="12">
                  <c:v>4486.7340578000003</c:v>
                </c:pt>
                <c:pt idx="13">
                  <c:v>4803.0962165000001</c:v>
                </c:pt>
                <c:pt idx="14">
                  <c:v>5118.3693638999994</c:v>
                </c:pt>
                <c:pt idx="15">
                  <c:v>5476.7003426999991</c:v>
                </c:pt>
                <c:pt idx="16">
                  <c:v>5787.6274472999994</c:v>
                </c:pt>
                <c:pt idx="17">
                  <c:v>6151.3934801999994</c:v>
                </c:pt>
                <c:pt idx="18">
                  <c:v>6518.7541255999986</c:v>
                </c:pt>
                <c:pt idx="19">
                  <c:v>6827.9133059999995</c:v>
                </c:pt>
                <c:pt idx="20">
                  <c:v>7190.5328137999986</c:v>
                </c:pt>
                <c:pt idx="21">
                  <c:v>7494.8670864999985</c:v>
                </c:pt>
                <c:pt idx="22">
                  <c:v>7852.2578396999988</c:v>
                </c:pt>
                <c:pt idx="23">
                  <c:v>8161.9558993999981</c:v>
                </c:pt>
                <c:pt idx="24">
                  <c:v>8487.2827090999981</c:v>
                </c:pt>
                <c:pt idx="25">
                  <c:v>8813.1371453999982</c:v>
                </c:pt>
                <c:pt idx="26">
                  <c:v>9006.018425799999</c:v>
                </c:pt>
                <c:pt idx="27">
                  <c:v>9269.3253542999992</c:v>
                </c:pt>
                <c:pt idx="28">
                  <c:v>9516.0858125999985</c:v>
                </c:pt>
                <c:pt idx="29">
                  <c:v>9795.977970599999</c:v>
                </c:pt>
                <c:pt idx="30">
                  <c:v>10009.147869099999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0-41B0-88EA-C0ACF50CF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1871"/>
        <c:axId val="1"/>
      </c:lineChart>
      <c:dateAx>
        <c:axId val="6550118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10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1.4252763859063072E-4"/>
              <c:y val="0.38025745588484017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solidFill>
            <a:schemeClr val="lt1"/>
          </a:solidFill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1871"/>
        <c:crosses val="autoZero"/>
        <c:crossBetween val="between"/>
        <c:majorUnit val="1000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/>
          <a:lstStyle/>
          <a:p>
            <a:pPr rtl="0">
              <a:defRPr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chemeClr val="bg1">
          <a:lumMod val="5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25" l="0.2" r="0.2" t="0.25" header="0.30000000000000032" footer="0.30000000000000032"/>
    <c:pageSetup paperSize="8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1496446585235"/>
          <c:y val="0.13017389251283887"/>
          <c:w val="0.85590584088408816"/>
          <c:h val="0.70760869565219164"/>
        </c:manualLayout>
      </c:layout>
      <c:lineChart>
        <c:grouping val="standard"/>
        <c:varyColors val="0"/>
        <c:ser>
          <c:idx val="0"/>
          <c:order val="0"/>
          <c:tx>
            <c:strRef>
              <c:f>Data!$B$75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Data!$C$74:$AG$74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Data!$C$75:$AG$75</c:f>
              <c:numCache>
                <c:formatCode>_(* #,##0_);_(* \(#,##0\);_(* "-"??_);_(@_)</c:formatCode>
                <c:ptCount val="31"/>
                <c:pt idx="0">
                  <c:v>1184.1956973903807</c:v>
                </c:pt>
                <c:pt idx="1">
                  <c:v>2368.3913947807614</c:v>
                </c:pt>
                <c:pt idx="2">
                  <c:v>3552.5870921711421</c:v>
                </c:pt>
                <c:pt idx="3">
                  <c:v>4736.7827895615228</c:v>
                </c:pt>
                <c:pt idx="4">
                  <c:v>5920.9784869519035</c:v>
                </c:pt>
                <c:pt idx="5">
                  <c:v>7105.1741843422842</c:v>
                </c:pt>
                <c:pt idx="6">
                  <c:v>8289.369881732664</c:v>
                </c:pt>
                <c:pt idx="7">
                  <c:v>9473.5655791230456</c:v>
                </c:pt>
                <c:pt idx="8">
                  <c:v>10657.761276513425</c:v>
                </c:pt>
                <c:pt idx="9">
                  <c:v>11841.956973903807</c:v>
                </c:pt>
                <c:pt idx="10">
                  <c:v>13026.152671294189</c:v>
                </c:pt>
                <c:pt idx="11">
                  <c:v>14210.348368684568</c:v>
                </c:pt>
                <c:pt idx="12">
                  <c:v>15394.544066074948</c:v>
                </c:pt>
                <c:pt idx="13">
                  <c:v>16578.739763465328</c:v>
                </c:pt>
                <c:pt idx="14">
                  <c:v>17762.935460855708</c:v>
                </c:pt>
                <c:pt idx="15">
                  <c:v>18947.131158246088</c:v>
                </c:pt>
                <c:pt idx="16">
                  <c:v>20131.326855636467</c:v>
                </c:pt>
                <c:pt idx="17">
                  <c:v>21315.522553026847</c:v>
                </c:pt>
                <c:pt idx="18">
                  <c:v>22499.718250417227</c:v>
                </c:pt>
                <c:pt idx="19">
                  <c:v>23683.913947807607</c:v>
                </c:pt>
                <c:pt idx="20">
                  <c:v>24868.109645197987</c:v>
                </c:pt>
                <c:pt idx="21">
                  <c:v>26052.30534258837</c:v>
                </c:pt>
                <c:pt idx="22">
                  <c:v>27236.50103997875</c:v>
                </c:pt>
                <c:pt idx="23">
                  <c:v>28420.69673736913</c:v>
                </c:pt>
                <c:pt idx="24">
                  <c:v>29604.892434759509</c:v>
                </c:pt>
                <c:pt idx="25">
                  <c:v>30789.088132149889</c:v>
                </c:pt>
                <c:pt idx="26">
                  <c:v>31973.283829540269</c:v>
                </c:pt>
                <c:pt idx="27">
                  <c:v>33157.479526930649</c:v>
                </c:pt>
                <c:pt idx="28">
                  <c:v>34341.675224321029</c:v>
                </c:pt>
                <c:pt idx="29">
                  <c:v>35525.870921711408</c:v>
                </c:pt>
                <c:pt idx="30">
                  <c:v>36710.066619101788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1-478C-B306-7506795FC0B4}"/>
            </c:ext>
          </c:extLst>
        </c:ser>
        <c:ser>
          <c:idx val="1"/>
          <c:order val="1"/>
          <c:tx>
            <c:strRef>
              <c:f>Data!$B$76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Data!$C$74:$AG$74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Data!$C$76:$AG$76</c:f>
              <c:numCache>
                <c:formatCode>_(* #,##0_);_(* \(#,##0\);_(* "-"??_);_(@_)</c:formatCode>
                <c:ptCount val="31"/>
                <c:pt idx="0">
                  <c:v>1169.479720287</c:v>
                </c:pt>
                <c:pt idx="1">
                  <c:v>2398.5239201189997</c:v>
                </c:pt>
                <c:pt idx="2">
                  <c:v>3141.3741739019997</c:v>
                </c:pt>
                <c:pt idx="3">
                  <c:v>4465.5057142200003</c:v>
                </c:pt>
                <c:pt idx="4">
                  <c:v>6667.8803698110005</c:v>
                </c:pt>
                <c:pt idx="5">
                  <c:v>7906.9453240470011</c:v>
                </c:pt>
                <c:pt idx="6">
                  <c:v>9293.8717690260019</c:v>
                </c:pt>
                <c:pt idx="7">
                  <c:v>10506.518084310001</c:v>
                </c:pt>
                <c:pt idx="8">
                  <c:v>11971.385980749001</c:v>
                </c:pt>
                <c:pt idx="9">
                  <c:v>13087.503259623001</c:v>
                </c:pt>
                <c:pt idx="10">
                  <c:v>14431.875706593</c:v>
                </c:pt>
                <c:pt idx="11">
                  <c:v>15633.625244777999</c:v>
                </c:pt>
                <c:pt idx="12">
                  <c:v>16941.210527447001</c:v>
                </c:pt>
                <c:pt idx="13">
                  <c:v>18149.178645232998</c:v>
                </c:pt>
                <c:pt idx="14">
                  <c:v>19432.663070084</c:v>
                </c:pt>
                <c:pt idx="15">
                  <c:v>20444.473108726997</c:v>
                </c:pt>
                <c:pt idx="16">
                  <c:v>21713.337850696</c:v>
                </c:pt>
                <c:pt idx="17">
                  <c:v>23172.958200526002</c:v>
                </c:pt>
                <c:pt idx="18">
                  <c:v>24271.207542124001</c:v>
                </c:pt>
                <c:pt idx="19">
                  <c:v>25392.301440100004</c:v>
                </c:pt>
                <c:pt idx="20">
                  <c:v>26724.423522688001</c:v>
                </c:pt>
                <c:pt idx="21">
                  <c:v>28088.264716036003</c:v>
                </c:pt>
                <c:pt idx="22">
                  <c:v>29643.635765520001</c:v>
                </c:pt>
                <c:pt idx="23">
                  <c:v>31235.713247434</c:v>
                </c:pt>
                <c:pt idx="24">
                  <c:v>32392.990464823</c:v>
                </c:pt>
                <c:pt idx="25">
                  <c:v>33608.538288801996</c:v>
                </c:pt>
                <c:pt idx="26">
                  <c:v>35298.749817235999</c:v>
                </c:pt>
                <c:pt idx="27">
                  <c:v>36775.146592441997</c:v>
                </c:pt>
                <c:pt idx="28">
                  <c:v>38146.797609697998</c:v>
                </c:pt>
                <c:pt idx="29">
                  <c:v>44098.034326301</c:v>
                </c:pt>
                <c:pt idx="30">
                  <c:v>45361.273343419998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1-478C-B306-7506795FC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053471"/>
        <c:axId val="1"/>
      </c:lineChart>
      <c:dateAx>
        <c:axId val="6520534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40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 Baht)</a:t>
                </a:r>
              </a:p>
            </c:rich>
          </c:tx>
          <c:layout>
            <c:manualLayout>
              <c:xMode val="edge"/>
              <c:yMode val="edge"/>
              <c:x val="6.3843702686187439E-3"/>
              <c:y val="0.38304695342334827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2053471"/>
        <c:crosses val="autoZero"/>
        <c:crossBetween val="between"/>
        <c:majorUnit val="5000"/>
        <c:minorUnit val="1000"/>
      </c:valAx>
      <c:dTable>
        <c:showHorzBorder val="1"/>
        <c:showVertBorder val="1"/>
        <c:showOutline val="1"/>
        <c:showKeys val="1"/>
        <c:spPr>
          <a:ln>
            <a:solidFill>
              <a:schemeClr val="tx1"/>
            </a:solidFill>
          </a:ln>
        </c:spPr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977" l="0.70000000000000062" r="0.70000000000000062" t="0.75000000000000977" header="0.30000000000000032" footer="0.30000000000000032"/>
    <c:pageSetup paperSize="8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478736701271525E-2"/>
          <c:y val="0.15269312813774094"/>
          <c:w val="0.88567685676873575"/>
          <c:h val="0.7303123536028916"/>
        </c:manualLayout>
      </c:layout>
      <c:lineChart>
        <c:grouping val="standard"/>
        <c:varyColors val="0"/>
        <c:ser>
          <c:idx val="0"/>
          <c:order val="0"/>
          <c:tx>
            <c:strRef>
              <c:f>Data!$B$79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Data!$C$78:$AG$78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Data!$C$79:$AG$79</c:f>
              <c:numCache>
                <c:formatCode>_(* #,##0_);_(* \(#,##0\);_(* "-"??_);_(@_)</c:formatCode>
                <c:ptCount val="31"/>
                <c:pt idx="0">
                  <c:v>20.057419354838707</c:v>
                </c:pt>
                <c:pt idx="1">
                  <c:v>40.114838709677414</c:v>
                </c:pt>
                <c:pt idx="2">
                  <c:v>60.172258064516122</c:v>
                </c:pt>
                <c:pt idx="3">
                  <c:v>80.229677419354829</c:v>
                </c:pt>
                <c:pt idx="4">
                  <c:v>100.28709677419354</c:v>
                </c:pt>
                <c:pt idx="5">
                  <c:v>120.34451612903226</c:v>
                </c:pt>
                <c:pt idx="6">
                  <c:v>140.40193548387097</c:v>
                </c:pt>
                <c:pt idx="7">
                  <c:v>160.45935483870969</c:v>
                </c:pt>
                <c:pt idx="8">
                  <c:v>180.5167741935484</c:v>
                </c:pt>
                <c:pt idx="9">
                  <c:v>200.57419354838711</c:v>
                </c:pt>
                <c:pt idx="10">
                  <c:v>220.63161290322583</c:v>
                </c:pt>
                <c:pt idx="11">
                  <c:v>240.68903225806454</c:v>
                </c:pt>
                <c:pt idx="12">
                  <c:v>260.74645161290323</c:v>
                </c:pt>
                <c:pt idx="13">
                  <c:v>280.80387096774194</c:v>
                </c:pt>
                <c:pt idx="14">
                  <c:v>300.86129032258066</c:v>
                </c:pt>
                <c:pt idx="15">
                  <c:v>320.91870967741937</c:v>
                </c:pt>
                <c:pt idx="16">
                  <c:v>340.97612903225809</c:v>
                </c:pt>
                <c:pt idx="17">
                  <c:v>361.0335483870968</c:v>
                </c:pt>
                <c:pt idx="18">
                  <c:v>381.09096774193551</c:v>
                </c:pt>
                <c:pt idx="19">
                  <c:v>401.14838709677423</c:v>
                </c:pt>
                <c:pt idx="20">
                  <c:v>421.20580645161294</c:v>
                </c:pt>
                <c:pt idx="21">
                  <c:v>441.26322580645166</c:v>
                </c:pt>
                <c:pt idx="22">
                  <c:v>461.32064516129037</c:v>
                </c:pt>
                <c:pt idx="23">
                  <c:v>481.37806451612909</c:v>
                </c:pt>
                <c:pt idx="24">
                  <c:v>501.4354838709678</c:v>
                </c:pt>
                <c:pt idx="25">
                  <c:v>521.49290322580646</c:v>
                </c:pt>
                <c:pt idx="26">
                  <c:v>541.55032258064512</c:v>
                </c:pt>
                <c:pt idx="27">
                  <c:v>561.60774193548377</c:v>
                </c:pt>
                <c:pt idx="28">
                  <c:v>581.66516129032243</c:v>
                </c:pt>
                <c:pt idx="29">
                  <c:v>601.72258064516109</c:v>
                </c:pt>
                <c:pt idx="30">
                  <c:v>621.77999999999975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D-44A8-A149-91AB4FE64AD2}"/>
            </c:ext>
          </c:extLst>
        </c:ser>
        <c:ser>
          <c:idx val="1"/>
          <c:order val="1"/>
          <c:tx>
            <c:strRef>
              <c:f>Data!$B$80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Data!$C$78:$AG$78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Data!$C$80:$AG$80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122.9</c:v>
                </c:pt>
                <c:pt idx="4">
                  <c:v>122.9</c:v>
                </c:pt>
                <c:pt idx="5">
                  <c:v>122.9</c:v>
                </c:pt>
                <c:pt idx="6">
                  <c:v>122.9</c:v>
                </c:pt>
                <c:pt idx="7">
                  <c:v>122.9</c:v>
                </c:pt>
                <c:pt idx="8">
                  <c:v>267.38</c:v>
                </c:pt>
                <c:pt idx="9">
                  <c:v>267.38</c:v>
                </c:pt>
                <c:pt idx="10">
                  <c:v>267.38</c:v>
                </c:pt>
                <c:pt idx="11">
                  <c:v>267.38</c:v>
                </c:pt>
                <c:pt idx="12">
                  <c:v>267.38</c:v>
                </c:pt>
                <c:pt idx="13">
                  <c:v>267.38</c:v>
                </c:pt>
                <c:pt idx="14">
                  <c:v>267.38</c:v>
                </c:pt>
                <c:pt idx="15">
                  <c:v>411.86</c:v>
                </c:pt>
                <c:pt idx="16">
                  <c:v>411.86</c:v>
                </c:pt>
                <c:pt idx="17">
                  <c:v>411.86</c:v>
                </c:pt>
                <c:pt idx="18">
                  <c:v>411.86</c:v>
                </c:pt>
                <c:pt idx="19">
                  <c:v>411.86</c:v>
                </c:pt>
                <c:pt idx="20">
                  <c:v>411.86</c:v>
                </c:pt>
                <c:pt idx="21">
                  <c:v>411.86</c:v>
                </c:pt>
                <c:pt idx="22">
                  <c:v>520.06000000000006</c:v>
                </c:pt>
                <c:pt idx="23">
                  <c:v>520.06000000000006</c:v>
                </c:pt>
                <c:pt idx="24">
                  <c:v>520.06000000000006</c:v>
                </c:pt>
                <c:pt idx="25">
                  <c:v>520.06000000000006</c:v>
                </c:pt>
                <c:pt idx="26">
                  <c:v>520.06000000000006</c:v>
                </c:pt>
                <c:pt idx="27">
                  <c:v>520.06000000000006</c:v>
                </c:pt>
                <c:pt idx="28">
                  <c:v>520.06000000000006</c:v>
                </c:pt>
                <c:pt idx="29">
                  <c:v>651.58000000000004</c:v>
                </c:pt>
                <c:pt idx="30">
                  <c:v>651.58000000000004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D-44A8-A149-91AB4FE6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1071"/>
        <c:axId val="1"/>
      </c:lineChart>
      <c:dateAx>
        <c:axId val="6550110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8.2690348637927125E-3"/>
              <c:y val="0.3968987286462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1071"/>
        <c:crosses val="autoZero"/>
        <c:crossBetween val="between"/>
        <c:minorUnit val="100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 rtl="0">
              <a:defRPr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ysClr val="window" lastClr="FFFFFF">
          <a:lumMod val="65000"/>
        </a:sysClr>
      </a:solidFill>
    </a:ln>
  </c:spPr>
  <c:txPr>
    <a:bodyPr/>
    <a:lstStyle/>
    <a:p>
      <a:pPr>
        <a:defRPr sz="1000" b="1" i="0" u="none" strike="noStrike" baseline="0">
          <a:solidFill>
            <a:srgbClr val="0000FF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5" l="0.45" r="0.45" t="0.5" header="0.30000000000000032" footer="0.30000000000000032"/>
    <c:pageSetup paperSize="8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44638448237127"/>
          <c:y val="0.14848417858798679"/>
          <c:w val="0.88567685676873575"/>
          <c:h val="0.7303123536028916"/>
        </c:manualLayout>
      </c:layout>
      <c:lineChart>
        <c:grouping val="standard"/>
        <c:varyColors val="0"/>
        <c:ser>
          <c:idx val="0"/>
          <c:order val="0"/>
          <c:tx>
            <c:strRef>
              <c:f>Data!$B$83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Data!$C$82:$AG$82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Data!$C$83:$AG$83</c:f>
              <c:numCache>
                <c:formatCode>_(* #,##0_);_(* \(#,##0\);_(* "-"??_);_(@_)</c:formatCode>
                <c:ptCount val="31"/>
                <c:pt idx="0">
                  <c:v>135.94490322580646</c:v>
                </c:pt>
                <c:pt idx="1">
                  <c:v>271.88980645161291</c:v>
                </c:pt>
                <c:pt idx="2">
                  <c:v>407.83470967741937</c:v>
                </c:pt>
                <c:pt idx="3">
                  <c:v>543.77961290322582</c:v>
                </c:pt>
                <c:pt idx="4">
                  <c:v>679.72451612903228</c:v>
                </c:pt>
                <c:pt idx="5">
                  <c:v>815.66941935483874</c:v>
                </c:pt>
                <c:pt idx="6">
                  <c:v>951.61432258064519</c:v>
                </c:pt>
                <c:pt idx="7">
                  <c:v>1087.5592258064516</c:v>
                </c:pt>
                <c:pt idx="8">
                  <c:v>1223.5041290322581</c:v>
                </c:pt>
                <c:pt idx="9">
                  <c:v>1359.4490322580646</c:v>
                </c:pt>
                <c:pt idx="10">
                  <c:v>1495.393935483871</c:v>
                </c:pt>
                <c:pt idx="11">
                  <c:v>1631.3388387096775</c:v>
                </c:pt>
                <c:pt idx="12">
                  <c:v>1767.2837419354839</c:v>
                </c:pt>
                <c:pt idx="13">
                  <c:v>1903.2286451612904</c:v>
                </c:pt>
                <c:pt idx="14">
                  <c:v>2039.1735483870968</c:v>
                </c:pt>
                <c:pt idx="15">
                  <c:v>2175.1184516129033</c:v>
                </c:pt>
                <c:pt idx="16">
                  <c:v>2311.0633548387095</c:v>
                </c:pt>
                <c:pt idx="17">
                  <c:v>2447.0082580645158</c:v>
                </c:pt>
                <c:pt idx="18">
                  <c:v>2582.953161290322</c:v>
                </c:pt>
                <c:pt idx="19">
                  <c:v>2718.8980645161282</c:v>
                </c:pt>
                <c:pt idx="20">
                  <c:v>2854.8429677419344</c:v>
                </c:pt>
                <c:pt idx="21">
                  <c:v>2990.7878709677407</c:v>
                </c:pt>
                <c:pt idx="22">
                  <c:v>3126.7327741935469</c:v>
                </c:pt>
                <c:pt idx="23">
                  <c:v>3262.6776774193531</c:v>
                </c:pt>
                <c:pt idx="24">
                  <c:v>3398.6225806451594</c:v>
                </c:pt>
                <c:pt idx="25">
                  <c:v>3534.5674838709656</c:v>
                </c:pt>
                <c:pt idx="26">
                  <c:v>3670.5123870967718</c:v>
                </c:pt>
                <c:pt idx="27">
                  <c:v>3806.457290322578</c:v>
                </c:pt>
                <c:pt idx="28">
                  <c:v>3942.4021935483843</c:v>
                </c:pt>
                <c:pt idx="29">
                  <c:v>4078.3470967741905</c:v>
                </c:pt>
                <c:pt idx="30">
                  <c:v>4214.2919999999967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6-494A-BF58-48AB3179B08C}"/>
            </c:ext>
          </c:extLst>
        </c:ser>
        <c:ser>
          <c:idx val="1"/>
          <c:order val="1"/>
          <c:tx>
            <c:strRef>
              <c:f>Data!$B$84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Data!$C$82:$AG$82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Data!$C$84:$AG$84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961.44899999999996</c:v>
                </c:pt>
                <c:pt idx="2">
                  <c:v>961.44899999999996</c:v>
                </c:pt>
                <c:pt idx="3">
                  <c:v>961.44899999999996</c:v>
                </c:pt>
                <c:pt idx="4">
                  <c:v>961.44899999999996</c:v>
                </c:pt>
                <c:pt idx="5">
                  <c:v>961.44899999999996</c:v>
                </c:pt>
                <c:pt idx="6">
                  <c:v>961.44899999999996</c:v>
                </c:pt>
                <c:pt idx="7">
                  <c:v>961.44899999999996</c:v>
                </c:pt>
                <c:pt idx="8">
                  <c:v>2403.4409999999993</c:v>
                </c:pt>
                <c:pt idx="9">
                  <c:v>2403.4409999999993</c:v>
                </c:pt>
                <c:pt idx="10">
                  <c:v>2403.4409999999993</c:v>
                </c:pt>
                <c:pt idx="11">
                  <c:v>2403.4409999999993</c:v>
                </c:pt>
                <c:pt idx="12">
                  <c:v>2403.4409999999993</c:v>
                </c:pt>
                <c:pt idx="13">
                  <c:v>2403.4409999999993</c:v>
                </c:pt>
                <c:pt idx="14">
                  <c:v>2403.4409999999993</c:v>
                </c:pt>
                <c:pt idx="15">
                  <c:v>3265.0979999999995</c:v>
                </c:pt>
                <c:pt idx="16">
                  <c:v>3265.0979999999995</c:v>
                </c:pt>
                <c:pt idx="17">
                  <c:v>3265.0979999999995</c:v>
                </c:pt>
                <c:pt idx="18">
                  <c:v>3265.0979999999995</c:v>
                </c:pt>
                <c:pt idx="19">
                  <c:v>3265.0979999999995</c:v>
                </c:pt>
                <c:pt idx="20">
                  <c:v>3265.0979999999995</c:v>
                </c:pt>
                <c:pt idx="21">
                  <c:v>3265.0979999999995</c:v>
                </c:pt>
                <c:pt idx="22">
                  <c:v>4224.5549999999994</c:v>
                </c:pt>
                <c:pt idx="23">
                  <c:v>4224.5549999999994</c:v>
                </c:pt>
                <c:pt idx="24">
                  <c:v>4224.5549999999994</c:v>
                </c:pt>
                <c:pt idx="25">
                  <c:v>4224.5549999999994</c:v>
                </c:pt>
                <c:pt idx="26">
                  <c:v>4224.5549999999994</c:v>
                </c:pt>
                <c:pt idx="27">
                  <c:v>4224.5549999999994</c:v>
                </c:pt>
                <c:pt idx="28">
                  <c:v>4224.5549999999994</c:v>
                </c:pt>
                <c:pt idx="29">
                  <c:v>4632.8639999999996</c:v>
                </c:pt>
                <c:pt idx="30">
                  <c:v>4632.8639999999996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6-494A-BF58-48AB3179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08671"/>
        <c:axId val="1"/>
      </c:lineChart>
      <c:dateAx>
        <c:axId val="6550086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ysClr val="windowText" lastClr="000000">
                <a:lumMod val="95000"/>
                <a:lumOff val="5000"/>
              </a:sys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45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(Baht)</a:t>
                </a:r>
              </a:p>
            </c:rich>
          </c:tx>
          <c:layout>
            <c:manualLayout>
              <c:xMode val="edge"/>
              <c:yMode val="edge"/>
              <c:x val="8.2690348637927125E-3"/>
              <c:y val="0.39689872864629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08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 rtl="0">
              <a:defRPr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solidFill>
        <a:sysClr val="window" lastClr="FFFFFF">
          <a:lumMod val="65000"/>
        </a:sysClr>
      </a:solidFill>
    </a:ln>
  </c:spPr>
  <c:txPr>
    <a:bodyPr/>
    <a:lstStyle/>
    <a:p>
      <a:pPr>
        <a:defRPr sz="1000" b="1" i="0" u="none" strike="noStrike" baseline="0">
          <a:solidFill>
            <a:srgbClr val="0000FF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5" l="0.45" r="0.45" t="0.5" header="0.30000000000000032" footer="0.30000000000000032"/>
    <c:pageSetup paperSize="8"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6745406824147E-2"/>
          <c:y val="0.14208470589509073"/>
          <c:w val="0.8912205674689867"/>
          <c:h val="0.66383495145632032"/>
        </c:manualLayout>
      </c:layout>
      <c:lineChart>
        <c:grouping val="standard"/>
        <c:varyColors val="0"/>
        <c:ser>
          <c:idx val="0"/>
          <c:order val="0"/>
          <c:tx>
            <c:strRef>
              <c:f>Data!$B$87</c:f>
              <c:strCache>
                <c:ptCount val="1"/>
                <c:pt idx="0">
                  <c:v> ACC PLAN 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Data!$C$86:$AG$86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Data!$C$87:$AG$87</c:f>
              <c:numCache>
                <c:formatCode>_(* #,##0_);_(* \(#,##0\);_(* "-"??_);_(@_)</c:formatCode>
                <c:ptCount val="31"/>
                <c:pt idx="0">
                  <c:v>182.5939301935482</c:v>
                </c:pt>
                <c:pt idx="1">
                  <c:v>365.18786038709641</c:v>
                </c:pt>
                <c:pt idx="2">
                  <c:v>547.78179058064416</c:v>
                </c:pt>
                <c:pt idx="3">
                  <c:v>730.37572077419281</c:v>
                </c:pt>
                <c:pt idx="4">
                  <c:v>912.96965096774056</c:v>
                </c:pt>
                <c:pt idx="5">
                  <c:v>1095.5635811612865</c:v>
                </c:pt>
                <c:pt idx="6">
                  <c:v>1278.157511354837</c:v>
                </c:pt>
                <c:pt idx="7">
                  <c:v>1460.7514415483838</c:v>
                </c:pt>
                <c:pt idx="8">
                  <c:v>1643.3453717419306</c:v>
                </c:pt>
                <c:pt idx="9">
                  <c:v>1825.9393019354811</c:v>
                </c:pt>
                <c:pt idx="10">
                  <c:v>2008.5332321290298</c:v>
                </c:pt>
                <c:pt idx="11">
                  <c:v>2191.127162322573</c:v>
                </c:pt>
                <c:pt idx="12">
                  <c:v>2373.7210925161235</c:v>
                </c:pt>
                <c:pt idx="13">
                  <c:v>2556.3150227096739</c:v>
                </c:pt>
                <c:pt idx="14">
                  <c:v>2738.9089529032208</c:v>
                </c:pt>
                <c:pt idx="15">
                  <c:v>2921.5028830967713</c:v>
                </c:pt>
                <c:pt idx="16">
                  <c:v>3104.0968132903217</c:v>
                </c:pt>
                <c:pt idx="17">
                  <c:v>3286.6907434838686</c:v>
                </c:pt>
                <c:pt idx="18">
                  <c:v>3469.2846736774154</c:v>
                </c:pt>
                <c:pt idx="19">
                  <c:v>3651.8786038709695</c:v>
                </c:pt>
                <c:pt idx="20">
                  <c:v>3834.4725340645236</c:v>
                </c:pt>
                <c:pt idx="21">
                  <c:v>4017.0664642580741</c:v>
                </c:pt>
                <c:pt idx="22">
                  <c:v>4199.6603944516246</c:v>
                </c:pt>
                <c:pt idx="23">
                  <c:v>4382.2543246451751</c:v>
                </c:pt>
                <c:pt idx="24">
                  <c:v>4564.8482548387256</c:v>
                </c:pt>
                <c:pt idx="25">
                  <c:v>4747.442185032276</c:v>
                </c:pt>
                <c:pt idx="26">
                  <c:v>4930.0361152258265</c:v>
                </c:pt>
                <c:pt idx="27">
                  <c:v>5112.6300454193843</c:v>
                </c:pt>
                <c:pt idx="28">
                  <c:v>5295.223975612942</c:v>
                </c:pt>
                <c:pt idx="29">
                  <c:v>5477.8179058064925</c:v>
                </c:pt>
                <c:pt idx="30">
                  <c:v>5660.411836000043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8-493C-889B-D2C07EB99BE4}"/>
            </c:ext>
          </c:extLst>
        </c:ser>
        <c:ser>
          <c:idx val="1"/>
          <c:order val="1"/>
          <c:tx>
            <c:strRef>
              <c:f>Data!$B$88</c:f>
              <c:strCache>
                <c:ptCount val="1"/>
                <c:pt idx="0">
                  <c:v> ACC ACTUAL </c:v>
                </c:pt>
              </c:strCache>
            </c:strRef>
          </c:tx>
          <c:spPr>
            <a:ln w="38100">
              <a:solidFill>
                <a:srgbClr val="0000FF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18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1" i="0" u="none" strike="noStrike" baseline="0">
                    <a:solidFill>
                      <a:srgbClr val="0000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Data!$C$86:$AG$86</c:f>
              <c:numCache>
                <c:formatCode>_(* #,##0_);_(* \(#,##0\);_(* "-"??_);_(@_)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Data!$C$88:$AG$88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55.853999999999814</c:v>
                </c:pt>
                <c:pt idx="2">
                  <c:v>55.854000000000269</c:v>
                </c:pt>
                <c:pt idx="3">
                  <c:v>325.23250000000098</c:v>
                </c:pt>
                <c:pt idx="4">
                  <c:v>428.86750000000029</c:v>
                </c:pt>
                <c:pt idx="5">
                  <c:v>519.17799999999988</c:v>
                </c:pt>
                <c:pt idx="6">
                  <c:v>519.17799999999988</c:v>
                </c:pt>
                <c:pt idx="7">
                  <c:v>519.1780000000017</c:v>
                </c:pt>
                <c:pt idx="8">
                  <c:v>1462.2047200000015</c:v>
                </c:pt>
                <c:pt idx="9">
                  <c:v>1713.608400000001</c:v>
                </c:pt>
                <c:pt idx="10">
                  <c:v>1984.8046800000011</c:v>
                </c:pt>
                <c:pt idx="11">
                  <c:v>2229.2301800000023</c:v>
                </c:pt>
                <c:pt idx="12">
                  <c:v>2229.2301799999987</c:v>
                </c:pt>
                <c:pt idx="13">
                  <c:v>2229.2301800000023</c:v>
                </c:pt>
                <c:pt idx="14">
                  <c:v>2229.2301800000023</c:v>
                </c:pt>
                <c:pt idx="15">
                  <c:v>3311.8098600000121</c:v>
                </c:pt>
                <c:pt idx="16">
                  <c:v>3415.4448600000105</c:v>
                </c:pt>
                <c:pt idx="17">
                  <c:v>3686.641140000007</c:v>
                </c:pt>
                <c:pt idx="18">
                  <c:v>3790.276140000009</c:v>
                </c:pt>
                <c:pt idx="19">
                  <c:v>4092.1598200000008</c:v>
                </c:pt>
                <c:pt idx="20">
                  <c:v>4092.159820000008</c:v>
                </c:pt>
                <c:pt idx="21">
                  <c:v>4092.159820000008</c:v>
                </c:pt>
                <c:pt idx="22">
                  <c:v>4887.0902200000128</c:v>
                </c:pt>
                <c:pt idx="23">
                  <c:v>5041.2052200000107</c:v>
                </c:pt>
                <c:pt idx="24">
                  <c:v>5171.5893500000093</c:v>
                </c:pt>
                <c:pt idx="25">
                  <c:v>6001.7997500000201</c:v>
                </c:pt>
                <c:pt idx="26">
                  <c:v>6001.7997500000129</c:v>
                </c:pt>
                <c:pt idx="27">
                  <c:v>6001.7997500000201</c:v>
                </c:pt>
                <c:pt idx="28">
                  <c:v>6001.7997500000201</c:v>
                </c:pt>
                <c:pt idx="29">
                  <c:v>6030.4505500000159</c:v>
                </c:pt>
                <c:pt idx="30">
                  <c:v>6030.4505500000087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8-493C-889B-D2C07EB9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2671"/>
        <c:axId val="1"/>
      </c:lineChart>
      <c:dateAx>
        <c:axId val="655012671"/>
        <c:scaling>
          <c:orientation val="minMax"/>
        </c:scaling>
        <c:delete val="0"/>
        <c:axPos val="b"/>
        <c:numFmt formatCode="_(* #,##0_);_(* \(#,##0\);_(* &quot;-&quot;_);_(@_)" sourceLinked="0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1"/>
        <c:crossesAt val="0"/>
        <c:auto val="0"/>
        <c:lblOffset val="100"/>
        <c:baseTimeUnit val="days"/>
      </c:date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>
              <a:solidFill>
                <a:srgbClr val="4311FB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FF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n-US"/>
                  <a:t>Amount ( Baht)</a:t>
                </a:r>
              </a:p>
            </c:rich>
          </c:tx>
          <c:layout>
            <c:manualLayout>
              <c:xMode val="edge"/>
              <c:yMode val="edge"/>
              <c:x val="3.9445500346936957E-5"/>
              <c:y val="0.3566293041145725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spPr>
          <a:ln w="25400">
            <a:solidFill>
              <a:schemeClr val="tx1">
                <a:lumMod val="95000"/>
                <a:lumOff val="5000"/>
              </a:schemeClr>
            </a:solidFill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FF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655012671"/>
        <c:crosses val="autoZero"/>
        <c:crossBetween val="between"/>
        <c:majorUnit val="1000"/>
        <c:minorUnit val="500"/>
      </c:valAx>
      <c:dTable>
        <c:showHorzBorder val="1"/>
        <c:showVertBorder val="1"/>
        <c:showOutline val="1"/>
        <c:showKeys val="1"/>
        <c:spPr>
          <a:ln>
            <a:solidFill>
              <a:schemeClr val="tx1"/>
            </a:solidFill>
          </a:ln>
        </c:spPr>
        <c:txPr>
          <a:bodyPr/>
          <a:lstStyle/>
          <a:p>
            <a:pPr rtl="0"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044" l="0.70000000000000062" r="0.70000000000000062" t="0.75000000000001044" header="0.30000000000000032" footer="0.30000000000000032"/>
    <c:pageSetup paperSize="8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81756</xdr:colOff>
      <xdr:row>0</xdr:row>
      <xdr:rowOff>153988</xdr:rowOff>
    </xdr:from>
    <xdr:to>
      <xdr:col>20</xdr:col>
      <xdr:colOff>670719</xdr:colOff>
      <xdr:row>45</xdr:row>
      <xdr:rowOff>0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1E45D054-A0D6-4D15-AD01-10A6AC010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180976</xdr:colOff>
      <xdr:row>44</xdr:row>
      <xdr:rowOff>152400</xdr:rowOff>
    </xdr:from>
    <xdr:to>
      <xdr:col>20</xdr:col>
      <xdr:colOff>455296</xdr:colOff>
      <xdr:row>48</xdr:row>
      <xdr:rowOff>68277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1A138D2-BF70-0B21-E063-B6B135FFF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00" r="10"/>
        <a:stretch>
          <a:fillRect/>
        </a:stretch>
      </xdr:blipFill>
      <xdr:spPr>
        <a:xfrm>
          <a:off x="180976" y="8153400"/>
          <a:ext cx="13296900" cy="662637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0.19392</cdr:x>
      <cdr:y>0.01782</cdr:y>
    </cdr:from>
    <cdr:to>
      <cdr:x>0.70226</cdr:x>
      <cdr:y>0.09639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2602239" y="143190"/>
          <a:ext cx="6821485" cy="6315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91440" tIns="45720" rIns="91440" bIns="4572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3200" b="1" cap="all" spc="0">
              <a:ln w="9000" cmpd="sng">
                <a:solidFill>
                  <a:srgbClr val="7030A0"/>
                </a:solidFill>
                <a:prstDash val="solid"/>
              </a:ln>
              <a:solidFill>
                <a:srgbClr val="0000FF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12700" stA="28000" endPos="45000" dist="1000" dir="5400000" sy="-100000" algn="bl" rotWithShape="0"/>
              </a:effectLst>
              <a:latin typeface="Tahoma" pitchFamily="34" charset="0"/>
              <a:cs typeface="Tahoma" pitchFamily="34" charset="0"/>
            </a:rPr>
            <a:t>DAILY SALES  PROGRESS</a:t>
          </a:r>
          <a:r>
            <a:rPr lang="en-US" sz="3200" b="1" cap="all" spc="0" baseline="0">
              <a:ln w="9000" cmpd="sng">
                <a:solidFill>
                  <a:srgbClr val="7030A0"/>
                </a:solidFill>
                <a:prstDash val="solid"/>
              </a:ln>
              <a:solidFill>
                <a:srgbClr val="0000FF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12700" stA="28000" endPos="45000" dist="1000" dir="5400000" sy="-100000" algn="bl" rotWithShape="0"/>
              </a:effectLst>
              <a:latin typeface="Tahoma" pitchFamily="34" charset="0"/>
              <a:cs typeface="Tahoma" pitchFamily="34" charset="0"/>
            </a:rPr>
            <a:t>  :</a:t>
          </a:r>
          <a:endParaRPr lang="en-US" sz="3200" b="1" cap="all" spc="0">
            <a:ln w="9000" cmpd="sng">
              <a:solidFill>
                <a:srgbClr val="7030A0"/>
              </a:solidFill>
              <a:prstDash val="solid"/>
            </a:ln>
            <a:solidFill>
              <a:srgbClr val="0000FF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  <a:reflection blurRad="12700" stA="28000" endPos="45000" dist="1000" dir="5400000" sy="-100000" algn="bl" rotWithShape="0"/>
            </a:effectLst>
            <a:latin typeface="Tahoma" pitchFamily="34" charset="0"/>
            <a:cs typeface="Tahoma" pitchFamily="34" charset="0"/>
          </a:endParaRPr>
        </a:p>
      </cdr:txBody>
    </cdr:sp>
  </cdr:relSizeAnchor>
  <cdr:relSizeAnchor xmlns:cdr="http://schemas.openxmlformats.org/drawingml/2006/chartDrawing">
    <cdr:from>
      <cdr:x>0.02115</cdr:x>
      <cdr:y>0.08077</cdr:y>
    </cdr:from>
    <cdr:to>
      <cdr:x>0.01431</cdr:x>
      <cdr:y>0.08499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956" y="692727"/>
          <a:ext cx="1553681" cy="2234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</xdr:row>
      <xdr:rowOff>152400</xdr:rowOff>
    </xdr:from>
    <xdr:to>
      <xdr:col>20</xdr:col>
      <xdr:colOff>504825</xdr:colOff>
      <xdr:row>46</xdr:row>
      <xdr:rowOff>123825</xdr:rowOff>
    </xdr:to>
    <xdr:graphicFrame macro="">
      <xdr:nvGraphicFramePr>
        <xdr:cNvPr id="8" name="Chart 19">
          <a:extLst>
            <a:ext uri="{FF2B5EF4-FFF2-40B4-BE49-F238E27FC236}">
              <a16:creationId xmlns:a16="http://schemas.microsoft.com/office/drawing/2014/main" id="{771F3148-05EC-4157-9566-E05FA06C2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0.03504</cdr:x>
      <cdr:y>0.01547</cdr:y>
    </cdr:from>
    <cdr:to>
      <cdr:x>0.91685</cdr:x>
      <cdr:y>0.08586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467877" y="117435"/>
          <a:ext cx="11775735" cy="53436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WD-BPI :DAILY SALES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PROGRESS REPORT 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0</xdr:rowOff>
    </xdr:from>
    <xdr:to>
      <xdr:col>20</xdr:col>
      <xdr:colOff>254000</xdr:colOff>
      <xdr:row>48</xdr:row>
      <xdr:rowOff>33867</xdr:rowOff>
    </xdr:to>
    <xdr:graphicFrame macro="">
      <xdr:nvGraphicFramePr>
        <xdr:cNvPr id="2" name="Chart 22">
          <a:extLst>
            <a:ext uri="{FF2B5EF4-FFF2-40B4-BE49-F238E27FC236}">
              <a16:creationId xmlns:a16="http://schemas.microsoft.com/office/drawing/2014/main" id="{11F9A866-D13A-49B4-A283-C93A80117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0.10409</cdr:x>
      <cdr:y>0.00835</cdr:y>
    </cdr:from>
    <cdr:to>
      <cdr:x>0.87913</cdr:x>
      <cdr:y>0.08321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356806" y="70697"/>
          <a:ext cx="10102371" cy="63381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32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WD-PRB :</a:t>
          </a:r>
          <a:r>
            <a:rPr lang="en-US" sz="32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DAILY </a:t>
          </a:r>
          <a:r>
            <a:rPr lang="en-US" sz="32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SALES PROGRESS</a:t>
          </a:r>
          <a:r>
            <a:rPr lang="en-US" sz="32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REPORT: </a:t>
          </a:r>
          <a:endParaRPr lang="en-US" sz="32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0.02529</cdr:x>
      <cdr:y>0.05751</cdr:y>
    </cdr:from>
    <cdr:to>
      <cdr:x>0.13509</cdr:x>
      <cdr:y>0.09745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692" y="486911"/>
          <a:ext cx="1431176" cy="3381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144086</xdr:rowOff>
    </xdr:from>
    <xdr:to>
      <xdr:col>20</xdr:col>
      <xdr:colOff>190500</xdr:colOff>
      <xdr:row>43</xdr:row>
      <xdr:rowOff>144540</xdr:rowOff>
    </xdr:to>
    <xdr:graphicFrame macro="">
      <xdr:nvGraphicFramePr>
        <xdr:cNvPr id="7" name="Chart 23">
          <a:extLst>
            <a:ext uri="{FF2B5EF4-FFF2-40B4-BE49-F238E27FC236}">
              <a16:creationId xmlns:a16="http://schemas.microsoft.com/office/drawing/2014/main" id="{328081B2-9E76-4297-9FF6-CDB9935CB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0.0949</cdr:x>
      <cdr:y>0.01831</cdr:y>
    </cdr:from>
    <cdr:to>
      <cdr:x>0.89177</cdr:x>
      <cdr:y>0.08913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247370" y="143008"/>
          <a:ext cx="10474457" cy="55317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ADVICS :DAILY SALES PROGRESS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 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0.02078</cdr:x>
      <cdr:y>0.09651</cdr:y>
    </cdr:from>
    <cdr:to>
      <cdr:x>0.0094</cdr:x>
      <cdr:y>0.09823</cdr:y>
    </cdr:to>
    <cdr:sp macro="" textlink="">
      <cdr:nvSpPr>
        <cdr:cNvPr id="3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1364" y="788036"/>
          <a:ext cx="1442629" cy="2220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178254</xdr:colOff>
      <xdr:row>0</xdr:row>
      <xdr:rowOff>136524</xdr:rowOff>
    </xdr:from>
    <xdr:to>
      <xdr:col>20</xdr:col>
      <xdr:colOff>368754</xdr:colOff>
      <xdr:row>43</xdr:row>
      <xdr:rowOff>136978</xdr:rowOff>
    </xdr:to>
    <xdr:graphicFrame macro="">
      <xdr:nvGraphicFramePr>
        <xdr:cNvPr id="2" name="Chart 23">
          <a:extLst>
            <a:ext uri="{FF2B5EF4-FFF2-40B4-BE49-F238E27FC236}">
              <a16:creationId xmlns:a16="http://schemas.microsoft.com/office/drawing/2014/main" id="{46338C32-EA35-40EB-A674-A4E8F7020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0.08938</cdr:x>
      <cdr:y>0.01972</cdr:y>
    </cdr:from>
    <cdr:to>
      <cdr:x>0.88625</cdr:x>
      <cdr:y>0.09029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74798" y="154032"/>
          <a:ext cx="10474457" cy="5512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 b="1" i="0" strike="noStrike" cap="none" spc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TAP-C :DAILY SALES PROGRESS</a:t>
          </a: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 REPORT: </a:t>
          </a:r>
          <a:endParaRPr lang="en-US" sz="2800" b="1" cap="none" spc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0.04207</cdr:x>
      <cdr:y>0.10089</cdr:y>
    </cdr:from>
    <cdr:to>
      <cdr:x>0.15182</cdr:x>
      <cdr:y>0.12932</cdr:y>
    </cdr:to>
    <cdr:sp macro="" textlink="">
      <cdr:nvSpPr>
        <cdr:cNvPr id="3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3004" y="788036"/>
          <a:ext cx="1442629" cy="22206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109220</xdr:rowOff>
    </xdr:from>
    <xdr:to>
      <xdr:col>20</xdr:col>
      <xdr:colOff>487680</xdr:colOff>
      <xdr:row>42</xdr:row>
      <xdr:rowOff>0</xdr:rowOff>
    </xdr:to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7546E4D6-10AF-463A-8DD6-AC223CB7C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0.15236</cdr:x>
      <cdr:y>0.00275</cdr:y>
    </cdr:from>
    <cdr:to>
      <cdr:x>0.79636</cdr:x>
      <cdr:y>0.06432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981272" y="20724"/>
          <a:ext cx="8374274" cy="46400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>
            <a:lnSpc>
              <a:spcPts val="3200"/>
            </a:lnSpc>
          </a:pPr>
          <a:r>
            <a:rPr lang="en-US" sz="2800" b="1" i="0" strike="noStrike" cap="none" spc="0" baseline="0">
              <a:ln w="0"/>
              <a:solidFill>
                <a:srgbClr val="0000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</a:rPr>
            <a:t>OTHER : DAILY SALES PROGRESS REPORT : NETR/TRT/FETL/AISIN/SEAGATE/BELTON)</a:t>
          </a:r>
          <a:endParaRPr lang="en-US" sz="2800" b="1" cap="none" spc="0" baseline="0">
            <a:ln w="0"/>
            <a:solidFill>
              <a:srgbClr val="0000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0.02223</cdr:x>
      <cdr:y>0.04951</cdr:y>
    </cdr:from>
    <cdr:to>
      <cdr:x>0.00982</cdr:x>
      <cdr:y>0.05025</cdr:y>
    </cdr:to>
    <cdr:sp macro="" textlink="">
      <cdr:nvSpPr>
        <cdr:cNvPr id="4" name="Text Box 64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692" y="436111"/>
          <a:ext cx="1431176" cy="3381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18288" tIns="32004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1">
            <a:defRPr sz="1000"/>
          </a:pPr>
          <a:r>
            <a:rPr lang="en-US" sz="1200" b="1" i="0" strike="noStrike">
              <a:solidFill>
                <a:srgbClr val="FF0000"/>
              </a:solidFill>
              <a:latin typeface="Tahoma" pitchFamily="34" charset="0"/>
              <a:cs typeface="Tahoma" pitchFamily="34" charset="0"/>
            </a:rPr>
            <a:t>UNIT : 1,000 THB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6.240\erpdev1\DOCUME~1\GS012\LOCALS~1\Temp\notes966155\M-001R0_1(&#12510;&#12523;&#12481;&#22312;&#24235;&#36578;&#36865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01%20airex\30master_code\AIREX&#12510;&#12473;&#12479;&#31227;&#34892;\HOSHINO\HOSPP\TRANSFER\&#20837;&#21147;&#21407;&#32025;\HMR\&#21697;&#3033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&#65332;&#65345;&#65355;&#65298;\&#21463;&#29702;&#12487;&#12540;&#12479;\&#12510;&#12473;&#12479;\&#35069;&#36896;-Rcp\Rcpdasen-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hw1\raid-5\DOCUME~1\suzukim\LOCALS~1\Temp\&#65325;&#65314;&#29305;&#20385;&#25613;&#3041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EXCEL5\DO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t2\seisan-shinsha\ATLAS-P\STD\FORM\ATLAS\KAWA\F&#31227;&#21205;&#20837;\B11GAIT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TOUHO\&#35531;&#27714;&#26360;\&#35531;&#27714;&#26360;97&#29256;\&#35531;&#27714;&#26360;&#39015;&#23458;&#12522;&#12473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CPM\DD\D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ps03\HITECH\Documents%20and%20Settings\82I01\&#12487;&#12473;&#12463;&#12488;&#12483;&#12503;\&#22823;&#37326;\za92_&#38609;&#22810;tbl\&#35373;&#23450;&#65411;&#65392;&#65420;&#65438;&#65433;\&#65429;&#65392;&#65403;&#65438;&#65392;&#30906;&#35469;\S900za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00207\D\Documents%20and%20Settings\moriuchi\My%20Documents\&#25216;&#34899;&#36039;&#26009;\&#12450;&#12489;&#12458;&#12531;&#38283;&#30330;\&#38306;&#38651;&#65289;&#22806;&#37096;&#35373;&#35336;&#12502;&#12521;&#12531;&#12463;&#12501;&#12457;&#12540;&#12512;&#65288;IPO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TDI\BOI%20And%20PR.TDI\Material%20plan\PO%20balance%20and%20Request%20plan\Apr\Incoming%20plan%20and%20PO%20balance%20of%20Y'20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PCON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-pro01\0109_&#12511;&#12459;&#12489;\BU&#21029;&#32207;&#21512;&#29983;&#29987;&#20250;&#35696;\7&#26376;&#24230;&#25351;&#31034;&#20107;&#38917;\01&#20013;&#38291;&#65318;&#22522;&#30990;&#12487;&#12540;&#12479;(&#23455;&#32318;&#21453;&#26144;&#65289;07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fd2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men3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r5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n01\open\Users\hashiki\&#22810;&#26408;&#21270;&#23398;\&#29289;&#29702;&#35373;&#35336;\&#27161;&#28310;&#21270;\Takenaka\TABLE.XL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n01\open\Users\hashiki\&#22810;&#26408;&#21270;&#23398;\&#29289;&#29702;&#35373;&#35336;\&#27161;&#28310;&#21270;\Takenaka\BACKUP\TABLE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udou\&#30000;&#24067;&#26045;&#20986;\&#31649;&#29702;\&#27531;&#20214;01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i1\herp\60%20HR\20%20&#35373;&#35336;\00%20&#31649;&#29702;\&#35373;&#35336;&#35506;&#38988;&#19968;&#35239;&#65288;&#65288;&#65316;&#65332;&#65315;&#27096;&#30906;&#35469;&#65289;V1(J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26032;&#65318;&#65323;&#65331;\&#22522;&#26412;&#35373;&#35336;&#26360;\&#20181;&#19978;&#12481;&#12455;&#12483;&#12463;&#27231;&#33021;&#2636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01&#12471;&#12473;&#12486;&#12512;&#19968;&#35506;&#32076;&#21942;\110&#35211;&#31309;\024&#35211;&#31309;&#26481;&#38306;&#26481;&#25903;&#31038;\&#21315;&#20195;&#30000;&#30010;\20021224METROCS&#36001;&#21209;&#20250;&#35336;&#27231;&#22120;&#22679;&#35373;\20030110_&#35211;&#31309;GD20160\&#12450;&#12452;&#12486;&#12483;&#12463;&#38442;&#31070;\&#35211;&#31309;&#20381;&#3897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0.6\mdis\&#12358;&#12378;\&#65393;&#65412;&#65438;&#65397;&#65437;&#38283;&#30330;&#22522;&#28310;\&#65403;&#65437;&#65420;&#65439;&#65433;\NIC&#38283;&#30330;&#12514;&#12472;&#12517;&#12540;&#12523;\04%20&#26085;&#26032;&#12452;&#12458;&#12531;\40%20ADDON\01%20&#24115;&#31080;ADDON\01%20&#12503;&#12525;&#12464;&#12521;&#12512;&#20181;&#27096;&#26360;\02%20&#12469;&#12531;&#12503;&#12523;(&#65420;&#65439;&#20181;&#27096;&#26360;)&#27726;&#29992;&#12514;&#12472;&#12517;&#12540;&#1252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dvdb1\MDIS&#27583;&#37772;&#20489;&#20849;&#26377;\TestKura\Seisan2000-PID&#23550;&#245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udou\&#30000;&#24067;&#26045;&#20986;\&#31649;&#29702;\J3\&#29983;&#29987;&#25163;&#38918;\&#23458;&#20808;&#65420;&#65387;&#65435;&#65392;\bunsho\&#23713;&#26412;&#65321;&#65318;\&#26376;&#27425;&#38598;&#35336;\&#20840;&#20307;&#38598;&#353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dvdb1\MDIS&#27583;&#37772;&#20489;&#20849;&#26377;\IWAY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spt1\sapr3\WINDOWS\TEMP\~005658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006\user\imple\PROJECT\Crc\&#35201;&#27714;&#35336;&#30011;&#65420;&#65386;&#65392;&#65405;&#65438;\CRC&#25552;&#20986;\&#20998;&#26512;&#65404;&#65392;&#654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hw1\raid-5\esprit_backup\User\db01\MC\&#35069;&#21697;&#12522;&#12473;&#12488;\MDIT&#27096;&#24335;\&#65305;&#65353;&#12503;&#12521;&#12452;&#12473;\Oracle020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4\tmp-d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社員リスト"/>
      <sheetName val="勤務体系"/>
      <sheetName val="経営対比(金型)"/>
      <sheetName val="1"/>
      <sheetName val="画面ﾚｲｱｳﾄ_(1)"/>
      <sheetName val="画面ﾚｲｱｳﾄ_(2)"/>
    </sheetNames>
    <sheetDataSet>
      <sheetData sheetId="0"/>
      <sheetData sheetId="1" refreshError="1">
        <row r="2">
          <cell r="J2">
            <v>36462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J"/>
      <sheetName val="K"/>
      <sheetName val="L"/>
      <sheetName val="参考"/>
      <sheetName val="経変"/>
      <sheetName val="X"/>
      <sheetName val="承認票"/>
      <sheetName val="RCP作業"/>
      <sheetName val="LIST"/>
      <sheetName val="Data"/>
      <sheetName val="社員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>
        <row r="4">
          <cell r="H4" t="str">
            <v>X8188020</v>
          </cell>
          <cell r="L4" t="str">
            <v>ﾍﾞﾘﾌﾟﾗｽﾄ 0.5ML ｷｯﾄ</v>
          </cell>
        </row>
        <row r="5">
          <cell r="H5" t="str">
            <v>X8188040</v>
          </cell>
          <cell r="L5" t="str">
            <v>ﾍﾞﾘﾌﾟﾗｽﾄ 1ML ｷｯﾄ</v>
          </cell>
        </row>
        <row r="6">
          <cell r="H6" t="str">
            <v>X8188060</v>
          </cell>
          <cell r="L6" t="str">
            <v>ﾍﾞﾘﾌﾟﾗｽﾄ 3ML ｷｯﾄ</v>
          </cell>
        </row>
        <row r="7">
          <cell r="H7" t="str">
            <v>X8188080</v>
          </cell>
          <cell r="L7" t="str">
            <v>ﾍﾞﾘﾌﾟﾗｽﾄ 5ML ｷｯﾄ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員リスト"/>
      <sheetName val="商品リスト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COMMON"/>
      <sheetName val="(ﾍｯﾀﾞ)"/>
      <sheetName val="kna1"/>
      <sheetName val="knb1"/>
      <sheetName val="テストデータ記述2"/>
      <sheetName val="Employee Info"/>
      <sheetName val="Product and Service Catalog"/>
      <sheetName val="品目DB"/>
      <sheetName val="#REF"/>
      <sheetName val="レポートレイアウト"/>
      <sheetName val="ドキュメント一覧・変更履歴"/>
      <sheetName val="日付ﾃｰﾌﾞﾙ"/>
      <sheetName val="ÐõXg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ŽÐˆõƒŠƒXƒg"/>
      <sheetName val="１．InfoCube (YKCH0010) 案２"/>
      <sheetName val="１．InfoCube (YKCH0010)案１"/>
      <sheetName val="工数Worksheet"/>
      <sheetName val="Program List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エビデンス(単一価格データ)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画面フロー"/>
      <sheetName val="画面定義"/>
      <sheetName val="文書履歴"/>
      <sheetName val="表紙 "/>
      <sheetName val="_REF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問い合わせ票 (中ꀫ룇"/>
      <sheetName val="1.選択条件画面レイアウꀫ"/>
      <sheetName val="入力定義書 (ZBSEGꀫ"/>
      <sheetName val=""/>
      <sheetName val="n_x0000_f_x0000_o_x0000_"/>
      <sheetName val=" ⠀夀䬀䌀䠀　　㄀　⤀ 䠀ቨ៿Ā１．InfoCube (YKC"/>
      <sheetName val="+表紙!$AA$20社員リスト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P作業"/>
      <sheetName val="Rcpdasen-1"/>
      <sheetName val="承認票"/>
      <sheetName val="参考"/>
      <sheetName val="X"/>
      <sheetName val="経営対比表98自動機"/>
      <sheetName val="社員リスト"/>
      <sheetName val="2月"/>
      <sheetName val="経営対比(金型)"/>
    </sheetNames>
    <sheetDataSet>
      <sheetData sheetId="0" refreshError="1">
        <row r="1">
          <cell r="F1" t="str">
            <v>PLNNR</v>
          </cell>
          <cell r="G1" t="str">
            <v>WERKS</v>
          </cell>
          <cell r="I1" t="str">
            <v>PLNAL</v>
          </cell>
          <cell r="J1" t="str">
            <v>PROFIDNETZ</v>
          </cell>
          <cell r="O1" t="str">
            <v>RC29K-BMENG</v>
          </cell>
          <cell r="P1" t="str">
            <v>PLNME</v>
          </cell>
          <cell r="Q1" t="str">
            <v>VERID</v>
          </cell>
          <cell r="R1" t="str">
            <v>RC29N-MATNR</v>
          </cell>
          <cell r="S1" t="str">
            <v>RC29N-WERKS</v>
          </cell>
          <cell r="T1" t="str">
            <v>STLAL</v>
          </cell>
          <cell r="U1" t="str">
            <v>STLAN</v>
          </cell>
          <cell r="X1" t="str">
            <v>ALORT</v>
          </cell>
          <cell r="AA1" t="str">
            <v>KTEXT</v>
          </cell>
          <cell r="AB1" t="str">
            <v>VORNR</v>
          </cell>
          <cell r="AC1" t="str">
            <v>PHFLG</v>
          </cell>
          <cell r="AD1" t="str">
            <v>PVZNR</v>
          </cell>
          <cell r="AE1" t="str">
            <v>PHSEQ</v>
          </cell>
          <cell r="AF1" t="str">
            <v>ARBPL</v>
          </cell>
          <cell r="AG1" t="str">
            <v>STEUS</v>
          </cell>
          <cell r="AH1" t="str">
            <v>LTXA1</v>
          </cell>
          <cell r="AI1" t="str">
            <v>RC29P-POSNR</v>
          </cell>
          <cell r="AJ1" t="str">
            <v>RC29P-IDNRK</v>
          </cell>
          <cell r="AL1" t="str">
            <v>RC29P-MENGE</v>
          </cell>
          <cell r="AM1" t="str">
            <v>RC29P-MEINS</v>
          </cell>
          <cell r="AN1" t="str">
            <v>RC29P-POSTP</v>
          </cell>
          <cell r="AO1" t="str">
            <v>RC29P-SORTF</v>
          </cell>
        </row>
        <row r="2">
          <cell r="F2" t="str">
            <v>製造品目（親品目に関する情報）ﾚｼﾋﾟ</v>
          </cell>
          <cell r="AB2" t="str">
            <v>サブサブ工程に関する情報</v>
          </cell>
          <cell r="AI2" t="str">
            <v>各サブサブ工程に仕込む品目（子品目）関する情報</v>
          </cell>
        </row>
        <row r="3">
          <cell r="F3" t="str">
            <v>I-1</v>
          </cell>
          <cell r="G3" t="str">
            <v>I-2</v>
          </cell>
          <cell r="I3">
            <v>7</v>
          </cell>
          <cell r="J3" t="str">
            <v>I-3</v>
          </cell>
          <cell r="O3" t="str">
            <v>追加</v>
          </cell>
          <cell r="P3">
            <v>18</v>
          </cell>
          <cell r="Q3">
            <v>23</v>
          </cell>
          <cell r="R3">
            <v>21</v>
          </cell>
          <cell r="S3">
            <v>22</v>
          </cell>
          <cell r="T3">
            <v>28</v>
          </cell>
          <cell r="U3">
            <v>29</v>
          </cell>
          <cell r="X3">
            <v>27</v>
          </cell>
          <cell r="AA3">
            <v>24</v>
          </cell>
          <cell r="AB3">
            <v>45</v>
          </cell>
          <cell r="AC3">
            <v>46</v>
          </cell>
          <cell r="AD3">
            <v>47</v>
          </cell>
          <cell r="AE3">
            <v>48</v>
          </cell>
          <cell r="AF3">
            <v>49</v>
          </cell>
          <cell r="AG3">
            <v>50</v>
          </cell>
          <cell r="AH3"/>
          <cell r="AI3">
            <v>31</v>
          </cell>
          <cell r="AJ3">
            <v>32</v>
          </cell>
          <cell r="AL3">
            <v>36</v>
          </cell>
          <cell r="AM3">
            <v>37</v>
          </cell>
          <cell r="AO3"/>
        </row>
        <row r="4">
          <cell r="F4">
            <v>1</v>
          </cell>
          <cell r="G4">
            <v>2</v>
          </cell>
          <cell r="I4">
            <v>4</v>
          </cell>
          <cell r="J4">
            <v>5</v>
          </cell>
          <cell r="O4" t="str">
            <v>追加</v>
          </cell>
          <cell r="P4">
            <v>10</v>
          </cell>
          <cell r="Q4">
            <v>11</v>
          </cell>
          <cell r="R4">
            <v>12</v>
          </cell>
          <cell r="S4">
            <v>13</v>
          </cell>
          <cell r="T4">
            <v>14</v>
          </cell>
          <cell r="U4">
            <v>15</v>
          </cell>
          <cell r="X4">
            <v>18</v>
          </cell>
          <cell r="AA4">
            <v>21</v>
          </cell>
          <cell r="AB4">
            <v>22</v>
          </cell>
          <cell r="AC4">
            <v>23</v>
          </cell>
          <cell r="AD4">
            <v>24</v>
          </cell>
          <cell r="AE4">
            <v>25</v>
          </cell>
          <cell r="AF4">
            <v>26</v>
          </cell>
          <cell r="AG4">
            <v>27</v>
          </cell>
          <cell r="AH4">
            <v>28</v>
          </cell>
          <cell r="AI4">
            <v>30</v>
          </cell>
          <cell r="AJ4">
            <v>31</v>
          </cell>
          <cell r="AL4">
            <v>32</v>
          </cell>
          <cell r="AM4">
            <v>33</v>
          </cell>
          <cell r="AO4"/>
        </row>
        <row r="6">
          <cell r="F6" t="str">
            <v>レシピグループ</v>
          </cell>
          <cell r="G6" t="str">
            <v>プラント</v>
          </cell>
          <cell r="I6" t="str">
            <v>レシピ</v>
          </cell>
          <cell r="J6" t="str">
            <v>プロファイル</v>
          </cell>
          <cell r="O6" t="str">
            <v>基本数量</v>
          </cell>
          <cell r="P6" t="str">
            <v>ヘッダ単位
（親品目）</v>
          </cell>
          <cell r="Q6" t="str">
            <v>製造バージョン</v>
          </cell>
          <cell r="R6" t="str">
            <v>品目コード
(主）</v>
          </cell>
          <cell r="S6" t="str">
            <v>プラント</v>
          </cell>
          <cell r="T6" t="str">
            <v>代替部品表番号</v>
          </cell>
          <cell r="U6" t="str">
            <v>部品表
用途</v>
          </cell>
          <cell r="X6" t="str">
            <v>在庫
保管場所</v>
          </cell>
          <cell r="AA6" t="str">
            <v>当レシピの説明文（テキスト(短)）</v>
          </cell>
          <cell r="AB6" t="str">
            <v>作業</v>
          </cell>
          <cell r="AC6" t="str">
            <v>Ph</v>
          </cell>
          <cell r="AD6" t="str">
            <v>上位</v>
          </cell>
          <cell r="AE6" t="str">
            <v>CRD</v>
          </cell>
          <cell r="AF6" t="str">
            <v>資源</v>
          </cell>
          <cell r="AG6" t="str">
            <v>管理</v>
          </cell>
          <cell r="AH6" t="str">
            <v>作業テキスト(短)</v>
          </cell>
          <cell r="AI6" t="str">
            <v>明細
番号</v>
          </cell>
          <cell r="AJ6" t="str">
            <v>構成
品目</v>
          </cell>
          <cell r="AL6" t="str">
            <v>仕込数量</v>
          </cell>
          <cell r="AM6" t="str">
            <v>数量
単位</v>
          </cell>
          <cell r="AO6" t="str">
            <v>ｿｰﾄ列</v>
          </cell>
        </row>
        <row r="7">
          <cell r="F7">
            <v>8</v>
          </cell>
          <cell r="G7">
            <v>4</v>
          </cell>
          <cell r="I7">
            <v>2</v>
          </cell>
          <cell r="J7">
            <v>7</v>
          </cell>
          <cell r="O7">
            <v>13</v>
          </cell>
          <cell r="P7">
            <v>3</v>
          </cell>
          <cell r="Q7">
            <v>4</v>
          </cell>
          <cell r="R7">
            <v>10</v>
          </cell>
          <cell r="S7">
            <v>4</v>
          </cell>
          <cell r="T7">
            <v>2</v>
          </cell>
          <cell r="U7">
            <v>1</v>
          </cell>
          <cell r="X7">
            <v>4</v>
          </cell>
          <cell r="AA7">
            <v>40</v>
          </cell>
          <cell r="AB7">
            <v>4</v>
          </cell>
          <cell r="AC7">
            <v>1</v>
          </cell>
          <cell r="AD7">
            <v>4</v>
          </cell>
          <cell r="AE7">
            <v>2</v>
          </cell>
          <cell r="AF7">
            <v>8</v>
          </cell>
          <cell r="AG7">
            <v>4</v>
          </cell>
          <cell r="AH7">
            <v>40</v>
          </cell>
          <cell r="AI7">
            <v>4</v>
          </cell>
          <cell r="AJ7">
            <v>10</v>
          </cell>
          <cell r="AL7"/>
          <cell r="AM7">
            <v>3</v>
          </cell>
          <cell r="AO7"/>
        </row>
        <row r="8">
          <cell r="F8">
            <v>12345678</v>
          </cell>
          <cell r="G8">
            <v>1234</v>
          </cell>
          <cell r="I8">
            <v>12</v>
          </cell>
          <cell r="J8">
            <v>1234567</v>
          </cell>
          <cell r="O8" t="str">
            <v>1234567890123</v>
          </cell>
          <cell r="P8">
            <v>123</v>
          </cell>
          <cell r="Q8">
            <v>1234</v>
          </cell>
          <cell r="R8">
            <v>1234567890</v>
          </cell>
          <cell r="S8">
            <v>1234</v>
          </cell>
          <cell r="T8">
            <v>12</v>
          </cell>
          <cell r="U8">
            <v>1</v>
          </cell>
          <cell r="X8">
            <v>1234</v>
          </cell>
          <cell r="AA8" t="str">
            <v>1234567890123456789012345678901234567890</v>
          </cell>
          <cell r="AB8">
            <v>1234</v>
          </cell>
          <cell r="AC8">
            <v>1</v>
          </cell>
          <cell r="AD8">
            <v>1234</v>
          </cell>
          <cell r="AE8">
            <v>12</v>
          </cell>
          <cell r="AF8">
            <v>12345678</v>
          </cell>
          <cell r="AG8">
            <v>1234</v>
          </cell>
          <cell r="AH8" t="str">
            <v>1234567890123456789012345678901234567890</v>
          </cell>
          <cell r="AI8" t="str">
            <v>1234</v>
          </cell>
          <cell r="AJ8">
            <v>1234567890</v>
          </cell>
          <cell r="AL8" t="str">
            <v>1234567890123</v>
          </cell>
          <cell r="AM8">
            <v>123</v>
          </cell>
          <cell r="AO8">
            <v>1234567890</v>
          </cell>
        </row>
        <row r="9">
          <cell r="F9" t="str">
            <v>00126320</v>
          </cell>
          <cell r="G9" t="str">
            <v>1251</v>
          </cell>
          <cell r="I9" t="str">
            <v>2</v>
          </cell>
          <cell r="O9" t="str">
            <v>1000</v>
          </cell>
          <cell r="P9" t="str">
            <v>KO</v>
          </cell>
          <cell r="Q9" t="str">
            <v>2</v>
          </cell>
          <cell r="R9" t="str">
            <v>00126329</v>
          </cell>
          <cell r="T9" t="str">
            <v>2</v>
          </cell>
          <cell r="U9" t="str">
            <v>0</v>
          </cell>
          <cell r="X9" t="str">
            <v>1251</v>
          </cell>
          <cell r="AA9" t="str">
            <v>temp</v>
          </cell>
          <cell r="AB9" t="str">
            <v>0100</v>
          </cell>
          <cell r="AF9" t="str">
            <v>59270</v>
          </cell>
          <cell r="AG9" t="str">
            <v>PI01</v>
          </cell>
          <cell r="AH9"/>
          <cell r="AI9"/>
          <cell r="AJ9"/>
          <cell r="AL9"/>
          <cell r="AM9"/>
          <cell r="AO9">
            <v>0</v>
          </cell>
        </row>
        <row r="10">
          <cell r="F10" t="str">
            <v>00126320</v>
          </cell>
          <cell r="G10" t="str">
            <v>1251</v>
          </cell>
          <cell r="I10" t="str">
            <v>2</v>
          </cell>
          <cell r="O10" t="str">
            <v>1000</v>
          </cell>
          <cell r="P10" t="str">
            <v>KO</v>
          </cell>
          <cell r="Q10" t="str">
            <v>2</v>
          </cell>
          <cell r="R10" t="str">
            <v>00126329</v>
          </cell>
          <cell r="T10" t="str">
            <v>2</v>
          </cell>
          <cell r="U10" t="str">
            <v>0</v>
          </cell>
          <cell r="X10" t="str">
            <v>1251</v>
          </cell>
          <cell r="AB10" t="str">
            <v>0101</v>
          </cell>
          <cell r="AC10" t="str">
            <v>X</v>
          </cell>
          <cell r="AD10" t="str">
            <v>0100</v>
          </cell>
          <cell r="AE10" t="str">
            <v>01</v>
          </cell>
          <cell r="AG10" t="str">
            <v>PI01</v>
          </cell>
          <cell r="AI10" t="str">
            <v>0010</v>
          </cell>
          <cell r="AJ10">
            <v>13177000</v>
          </cell>
          <cell r="AL10">
            <v>500</v>
          </cell>
          <cell r="AM10" t="str">
            <v>ST</v>
          </cell>
          <cell r="AO10">
            <v>110</v>
          </cell>
        </row>
        <row r="11">
          <cell r="F11" t="str">
            <v>00126320</v>
          </cell>
          <cell r="G11" t="str">
            <v>1251</v>
          </cell>
          <cell r="I11" t="str">
            <v>2</v>
          </cell>
          <cell r="O11" t="str">
            <v>1000</v>
          </cell>
          <cell r="P11" t="str">
            <v>KO</v>
          </cell>
          <cell r="Q11" t="str">
            <v>2</v>
          </cell>
          <cell r="R11" t="str">
            <v>00126329</v>
          </cell>
          <cell r="T11" t="str">
            <v>2</v>
          </cell>
          <cell r="U11" t="str">
            <v>0</v>
          </cell>
          <cell r="X11" t="str">
            <v>1251</v>
          </cell>
          <cell r="AB11" t="str">
            <v>0101</v>
          </cell>
          <cell r="AC11" t="str">
            <v>X</v>
          </cell>
          <cell r="AD11" t="str">
            <v>0100</v>
          </cell>
          <cell r="AE11" t="str">
            <v>01</v>
          </cell>
          <cell r="AG11" t="str">
            <v>PI01</v>
          </cell>
          <cell r="AI11" t="str">
            <v>0020</v>
          </cell>
          <cell r="AJ11">
            <v>30421573</v>
          </cell>
          <cell r="AL11">
            <v>1475</v>
          </cell>
          <cell r="AM11" t="str">
            <v>M</v>
          </cell>
          <cell r="AO11">
            <v>120</v>
          </cell>
        </row>
        <row r="12">
          <cell r="F12" t="str">
            <v>00126320</v>
          </cell>
          <cell r="G12" t="str">
            <v>1251</v>
          </cell>
          <cell r="I12" t="str">
            <v>2</v>
          </cell>
          <cell r="O12" t="str">
            <v>1000</v>
          </cell>
          <cell r="P12" t="str">
            <v>KO</v>
          </cell>
          <cell r="Q12" t="str">
            <v>2</v>
          </cell>
          <cell r="R12" t="str">
            <v>00126329</v>
          </cell>
          <cell r="T12" t="str">
            <v>2</v>
          </cell>
          <cell r="U12" t="str">
            <v>0</v>
          </cell>
          <cell r="X12" t="str">
            <v>1251</v>
          </cell>
          <cell r="AB12" t="str">
            <v>0101</v>
          </cell>
          <cell r="AC12" t="str">
            <v>X</v>
          </cell>
          <cell r="AD12" t="str">
            <v>0100</v>
          </cell>
          <cell r="AE12" t="str">
            <v>01</v>
          </cell>
          <cell r="AG12" t="str">
            <v>PI01</v>
          </cell>
          <cell r="AI12" t="str">
            <v>0030</v>
          </cell>
          <cell r="AJ12">
            <v>41643070</v>
          </cell>
          <cell r="AL12">
            <v>1000</v>
          </cell>
          <cell r="AM12" t="str">
            <v>P</v>
          </cell>
          <cell r="AO12">
            <v>130</v>
          </cell>
        </row>
        <row r="13">
          <cell r="F13" t="str">
            <v>00126320</v>
          </cell>
          <cell r="G13" t="str">
            <v>1251</v>
          </cell>
          <cell r="I13" t="str">
            <v>2</v>
          </cell>
          <cell r="O13" t="str">
            <v>1000</v>
          </cell>
          <cell r="P13" t="str">
            <v>KO</v>
          </cell>
          <cell r="Q13" t="str">
            <v>2</v>
          </cell>
          <cell r="R13" t="str">
            <v>00126329</v>
          </cell>
          <cell r="T13" t="str">
            <v>2</v>
          </cell>
          <cell r="U13" t="str">
            <v>0</v>
          </cell>
          <cell r="X13" t="str">
            <v>1251</v>
          </cell>
          <cell r="AB13" t="str">
            <v>0200</v>
          </cell>
          <cell r="AF13" t="str">
            <v>59270</v>
          </cell>
          <cell r="AG13" t="str">
            <v>PIMI</v>
          </cell>
          <cell r="AH13"/>
          <cell r="AI13"/>
          <cell r="AJ13"/>
          <cell r="AL13"/>
          <cell r="AM13"/>
          <cell r="AO13">
            <v>0</v>
          </cell>
        </row>
        <row r="14">
          <cell r="F14" t="str">
            <v>00126320</v>
          </cell>
          <cell r="G14" t="str">
            <v>1251</v>
          </cell>
          <cell r="I14" t="str">
            <v>2</v>
          </cell>
          <cell r="O14" t="str">
            <v>1000</v>
          </cell>
          <cell r="P14" t="str">
            <v>KO</v>
          </cell>
          <cell r="Q14" t="str">
            <v>2</v>
          </cell>
          <cell r="R14" t="str">
            <v>00126329</v>
          </cell>
          <cell r="T14" t="str">
            <v>2</v>
          </cell>
          <cell r="U14" t="str">
            <v>0</v>
          </cell>
          <cell r="X14" t="str">
            <v>1251</v>
          </cell>
          <cell r="AB14" t="str">
            <v>0201</v>
          </cell>
          <cell r="AC14" t="str">
            <v>X</v>
          </cell>
          <cell r="AD14" t="str">
            <v>0200</v>
          </cell>
          <cell r="AE14" t="str">
            <v>01</v>
          </cell>
          <cell r="AG14" t="str">
            <v>PIMI</v>
          </cell>
          <cell r="AI14" t="str">
            <v>0040</v>
          </cell>
          <cell r="AJ14">
            <v>13177000</v>
          </cell>
          <cell r="AL14">
            <v>500</v>
          </cell>
          <cell r="AM14" t="str">
            <v>ST</v>
          </cell>
          <cell r="AO14">
            <v>240</v>
          </cell>
        </row>
        <row r="15">
          <cell r="F15" t="str">
            <v>00126320</v>
          </cell>
          <cell r="G15" t="str">
            <v>1251</v>
          </cell>
          <cell r="I15" t="str">
            <v>2</v>
          </cell>
          <cell r="O15" t="str">
            <v>1000</v>
          </cell>
          <cell r="P15" t="str">
            <v>KO</v>
          </cell>
          <cell r="Q15" t="str">
            <v>2</v>
          </cell>
          <cell r="R15" t="str">
            <v>00126329</v>
          </cell>
          <cell r="T15" t="str">
            <v>2</v>
          </cell>
          <cell r="U15" t="str">
            <v>0</v>
          </cell>
          <cell r="X15" t="str">
            <v>1251</v>
          </cell>
          <cell r="AB15" t="str">
            <v>0201</v>
          </cell>
          <cell r="AC15" t="str">
            <v>X</v>
          </cell>
          <cell r="AD15" t="str">
            <v>0200</v>
          </cell>
          <cell r="AE15" t="str">
            <v>01</v>
          </cell>
          <cell r="AG15" t="str">
            <v>PIMI</v>
          </cell>
          <cell r="AI15" t="str">
            <v>0050</v>
          </cell>
          <cell r="AJ15">
            <v>30421573</v>
          </cell>
          <cell r="AL15">
            <v>1475</v>
          </cell>
          <cell r="AM15" t="str">
            <v>M</v>
          </cell>
          <cell r="AO15">
            <v>250</v>
          </cell>
        </row>
        <row r="16">
          <cell r="F16" t="str">
            <v>00126320</v>
          </cell>
          <cell r="G16" t="str">
            <v>1251</v>
          </cell>
          <cell r="I16" t="str">
            <v>2</v>
          </cell>
          <cell r="O16" t="str">
            <v>1000</v>
          </cell>
          <cell r="P16" t="str">
            <v>KO</v>
          </cell>
          <cell r="Q16" t="str">
            <v>2</v>
          </cell>
          <cell r="R16" t="str">
            <v>00126329</v>
          </cell>
          <cell r="T16" t="str">
            <v>2</v>
          </cell>
          <cell r="U16" t="str">
            <v>0</v>
          </cell>
          <cell r="X16" t="str">
            <v>1251</v>
          </cell>
          <cell r="AB16" t="str">
            <v>0201</v>
          </cell>
          <cell r="AC16" t="str">
            <v>X</v>
          </cell>
          <cell r="AD16" t="str">
            <v>0200</v>
          </cell>
          <cell r="AE16" t="str">
            <v>01</v>
          </cell>
          <cell r="AG16" t="str">
            <v>PIMI</v>
          </cell>
          <cell r="AI16" t="str">
            <v>0060</v>
          </cell>
          <cell r="AJ16">
            <v>41643070</v>
          </cell>
          <cell r="AL16">
            <v>1000</v>
          </cell>
          <cell r="AM16" t="str">
            <v>P</v>
          </cell>
          <cell r="AO16">
            <v>260</v>
          </cell>
        </row>
        <row r="17">
          <cell r="U17" t="str">
            <v>0</v>
          </cell>
          <cell r="AO17">
            <v>0</v>
          </cell>
        </row>
        <row r="18">
          <cell r="U18" t="str">
            <v>0</v>
          </cell>
          <cell r="AO18">
            <v>0</v>
          </cell>
        </row>
        <row r="19">
          <cell r="F19" t="str">
            <v>00085740</v>
          </cell>
          <cell r="G19" t="str">
            <v>1251</v>
          </cell>
          <cell r="I19" t="str">
            <v>6</v>
          </cell>
          <cell r="O19" t="str">
            <v>1000</v>
          </cell>
          <cell r="P19" t="str">
            <v>KO</v>
          </cell>
          <cell r="Q19" t="str">
            <v>6</v>
          </cell>
          <cell r="R19" t="str">
            <v>00085741</v>
          </cell>
          <cell r="T19" t="str">
            <v>6</v>
          </cell>
          <cell r="U19" t="str">
            <v>0</v>
          </cell>
          <cell r="X19" t="str">
            <v>1251</v>
          </cell>
          <cell r="AA19" t="str">
            <v>ﾀﾞｰｾﾞﾝ　　　H10TX50</v>
          </cell>
          <cell r="AB19" t="str">
            <v>0100</v>
          </cell>
          <cell r="AF19" t="str">
            <v>58562</v>
          </cell>
          <cell r="AG19" t="str">
            <v>PI01</v>
          </cell>
          <cell r="AH19"/>
          <cell r="AI19"/>
          <cell r="AJ19"/>
          <cell r="AL19"/>
          <cell r="AM19"/>
          <cell r="AO19">
            <v>0</v>
          </cell>
        </row>
        <row r="20">
          <cell r="F20" t="str">
            <v>00085740</v>
          </cell>
          <cell r="G20" t="str">
            <v>1251</v>
          </cell>
          <cell r="I20" t="str">
            <v>6</v>
          </cell>
          <cell r="O20" t="str">
            <v>1000</v>
          </cell>
          <cell r="P20" t="str">
            <v>KO</v>
          </cell>
          <cell r="Q20" t="str">
            <v>6</v>
          </cell>
          <cell r="R20" t="str">
            <v>00085741</v>
          </cell>
          <cell r="T20" t="str">
            <v>6</v>
          </cell>
          <cell r="U20" t="str">
            <v>0</v>
          </cell>
          <cell r="X20" t="str">
            <v>1251</v>
          </cell>
          <cell r="AA20" t="str">
            <v>ﾀﾞｰｾﾞﾝ　　　H10TX50</v>
          </cell>
          <cell r="AB20" t="str">
            <v>0101</v>
          </cell>
          <cell r="AC20" t="str">
            <v>X</v>
          </cell>
          <cell r="AD20" t="str">
            <v>0100</v>
          </cell>
          <cell r="AE20" t="str">
            <v>01</v>
          </cell>
          <cell r="AG20" t="str">
            <v>PI01</v>
          </cell>
          <cell r="AI20" t="str">
            <v>0010</v>
          </cell>
          <cell r="AJ20" t="str">
            <v>13112004</v>
          </cell>
          <cell r="AL20">
            <v>500</v>
          </cell>
          <cell r="AM20" t="str">
            <v>ST</v>
          </cell>
          <cell r="AO20">
            <v>110</v>
          </cell>
        </row>
        <row r="21">
          <cell r="F21" t="str">
            <v>00085740</v>
          </cell>
          <cell r="G21" t="str">
            <v>1251</v>
          </cell>
          <cell r="I21" t="str">
            <v>6</v>
          </cell>
          <cell r="O21" t="str">
            <v>1000</v>
          </cell>
          <cell r="P21" t="str">
            <v>KO</v>
          </cell>
          <cell r="Q21" t="str">
            <v>6</v>
          </cell>
          <cell r="R21" t="str">
            <v>00085741</v>
          </cell>
          <cell r="T21" t="str">
            <v>6</v>
          </cell>
          <cell r="U21" t="str">
            <v>0</v>
          </cell>
          <cell r="X21" t="str">
            <v>1251</v>
          </cell>
          <cell r="AA21" t="str">
            <v>ﾀﾞｰｾﾞﾝ　　　H10TX50</v>
          </cell>
          <cell r="AB21" t="str">
            <v>0300</v>
          </cell>
          <cell r="AF21" t="str">
            <v>58562</v>
          </cell>
          <cell r="AG21" t="str">
            <v>PI01</v>
          </cell>
          <cell r="AH21"/>
          <cell r="AI21"/>
          <cell r="AJ21"/>
          <cell r="AL21"/>
          <cell r="AM21"/>
          <cell r="AO21">
            <v>0</v>
          </cell>
        </row>
        <row r="22">
          <cell r="F22" t="str">
            <v>00085740</v>
          </cell>
          <cell r="G22" t="str">
            <v>1251</v>
          </cell>
          <cell r="I22" t="str">
            <v>6</v>
          </cell>
          <cell r="O22" t="str">
            <v>1000</v>
          </cell>
          <cell r="P22" t="str">
            <v>KO</v>
          </cell>
          <cell r="Q22" t="str">
            <v>6</v>
          </cell>
          <cell r="R22" t="str">
            <v>00085741</v>
          </cell>
          <cell r="T22" t="str">
            <v>6</v>
          </cell>
          <cell r="U22" t="str">
            <v>0</v>
          </cell>
          <cell r="X22" t="str">
            <v>1251</v>
          </cell>
          <cell r="AA22" t="str">
            <v>ﾀﾞｰｾﾞﾝ　　　H10TX50</v>
          </cell>
          <cell r="AB22" t="str">
            <v>0301</v>
          </cell>
          <cell r="AC22" t="str">
            <v>X</v>
          </cell>
          <cell r="AD22" t="str">
            <v>0300</v>
          </cell>
          <cell r="AE22" t="str">
            <v>01</v>
          </cell>
          <cell r="AG22" t="str">
            <v>PI01</v>
          </cell>
          <cell r="AI22" t="str">
            <v>0020</v>
          </cell>
          <cell r="AJ22" t="str">
            <v>30421226</v>
          </cell>
          <cell r="AL22">
            <v>950</v>
          </cell>
          <cell r="AM22" t="str">
            <v>M</v>
          </cell>
          <cell r="AO22">
            <v>320</v>
          </cell>
        </row>
        <row r="23">
          <cell r="F23" t="str">
            <v>00085740</v>
          </cell>
          <cell r="G23" t="str">
            <v>1251</v>
          </cell>
          <cell r="I23" t="str">
            <v>6</v>
          </cell>
          <cell r="O23" t="str">
            <v>1000</v>
          </cell>
          <cell r="P23" t="str">
            <v>KO</v>
          </cell>
          <cell r="Q23" t="str">
            <v>6</v>
          </cell>
          <cell r="R23" t="str">
            <v>00085741</v>
          </cell>
          <cell r="T23" t="str">
            <v>6</v>
          </cell>
          <cell r="U23" t="str">
            <v>0</v>
          </cell>
          <cell r="X23" t="str">
            <v>1251</v>
          </cell>
          <cell r="AA23" t="str">
            <v>ﾀﾞｰｾﾞﾝ　　　H10TX50</v>
          </cell>
          <cell r="AB23" t="str">
            <v>0301</v>
          </cell>
          <cell r="AC23" t="str">
            <v>X</v>
          </cell>
          <cell r="AD23" t="str">
            <v>0300</v>
          </cell>
          <cell r="AE23" t="str">
            <v>01</v>
          </cell>
          <cell r="AG23" t="str">
            <v>PI01</v>
          </cell>
          <cell r="AI23" t="str">
            <v>0030</v>
          </cell>
          <cell r="AJ23" t="str">
            <v>30812756</v>
          </cell>
          <cell r="AL23">
            <v>950</v>
          </cell>
          <cell r="AM23" t="str">
            <v>M</v>
          </cell>
          <cell r="AO23">
            <v>330</v>
          </cell>
        </row>
        <row r="24">
          <cell r="F24" t="str">
            <v>00085740</v>
          </cell>
          <cell r="G24" t="str">
            <v>1251</v>
          </cell>
          <cell r="I24" t="str">
            <v>6</v>
          </cell>
          <cell r="O24" t="str">
            <v>1000</v>
          </cell>
          <cell r="P24" t="str">
            <v>KO</v>
          </cell>
          <cell r="Q24" t="str">
            <v>6</v>
          </cell>
          <cell r="R24" t="str">
            <v>00085741</v>
          </cell>
          <cell r="T24" t="str">
            <v>6</v>
          </cell>
          <cell r="U24" t="str">
            <v>0</v>
          </cell>
          <cell r="X24" t="str">
            <v>1251</v>
          </cell>
          <cell r="AA24" t="str">
            <v>ﾀﾞｰｾﾞﾝ　　　H10TX50</v>
          </cell>
          <cell r="AB24" t="str">
            <v>0700</v>
          </cell>
          <cell r="AF24" t="str">
            <v>58562</v>
          </cell>
          <cell r="AG24" t="str">
            <v>PIMI</v>
          </cell>
          <cell r="AH24"/>
          <cell r="AI24"/>
          <cell r="AJ24"/>
          <cell r="AL24"/>
          <cell r="AM24"/>
          <cell r="AO24">
            <v>0</v>
          </cell>
        </row>
        <row r="25">
          <cell r="F25" t="str">
            <v>00085740</v>
          </cell>
          <cell r="G25" t="str">
            <v>1251</v>
          </cell>
          <cell r="I25" t="str">
            <v>6</v>
          </cell>
          <cell r="O25" t="str">
            <v>1000</v>
          </cell>
          <cell r="P25" t="str">
            <v>KO</v>
          </cell>
          <cell r="Q25" t="str">
            <v>6</v>
          </cell>
          <cell r="R25" t="str">
            <v>00085741</v>
          </cell>
          <cell r="T25" t="str">
            <v>6</v>
          </cell>
          <cell r="U25" t="str">
            <v>0</v>
          </cell>
          <cell r="X25" t="str">
            <v>1251</v>
          </cell>
          <cell r="AA25" t="str">
            <v>ﾀﾞｰｾﾞﾝ　　　H10TX50</v>
          </cell>
          <cell r="AB25" t="str">
            <v>0701</v>
          </cell>
          <cell r="AC25" t="str">
            <v>X</v>
          </cell>
          <cell r="AD25" t="str">
            <v>0701</v>
          </cell>
          <cell r="AE25" t="str">
            <v>01</v>
          </cell>
          <cell r="AG25" t="str">
            <v>PIMI</v>
          </cell>
          <cell r="AI25" t="str">
            <v>0040</v>
          </cell>
          <cell r="AJ25" t="str">
            <v>41642557</v>
          </cell>
          <cell r="AL25">
            <v>1000</v>
          </cell>
          <cell r="AM25" t="str">
            <v>P</v>
          </cell>
          <cell r="AO25">
            <v>750</v>
          </cell>
        </row>
        <row r="26">
          <cell r="F26" t="str">
            <v>00085740</v>
          </cell>
          <cell r="G26" t="str">
            <v>1251</v>
          </cell>
          <cell r="I26" t="str">
            <v>6</v>
          </cell>
          <cell r="O26" t="str">
            <v>1000</v>
          </cell>
          <cell r="P26" t="str">
            <v>KO</v>
          </cell>
          <cell r="Q26" t="str">
            <v>6</v>
          </cell>
          <cell r="R26" t="str">
            <v>00085741</v>
          </cell>
          <cell r="T26" t="str">
            <v>6</v>
          </cell>
          <cell r="U26" t="str">
            <v>0</v>
          </cell>
          <cell r="X26" t="str">
            <v>1251</v>
          </cell>
          <cell r="AA26" t="str">
            <v>ﾀﾞｰｾﾞﾝ　　　H10TX50</v>
          </cell>
          <cell r="AB26" t="str">
            <v>0701</v>
          </cell>
          <cell r="AC26" t="str">
            <v>X</v>
          </cell>
          <cell r="AD26" t="str">
            <v>0701</v>
          </cell>
          <cell r="AE26" t="str">
            <v>01</v>
          </cell>
          <cell r="AG26" t="str">
            <v>PIMI</v>
          </cell>
          <cell r="AI26" t="str">
            <v>0050</v>
          </cell>
          <cell r="AJ26" t="str">
            <v>50042415</v>
          </cell>
          <cell r="AL26">
            <v>1000</v>
          </cell>
          <cell r="AM26" t="str">
            <v>P</v>
          </cell>
          <cell r="AO26">
            <v>760</v>
          </cell>
        </row>
        <row r="27">
          <cell r="F27" t="str">
            <v>00085740</v>
          </cell>
          <cell r="G27" t="str">
            <v>1251</v>
          </cell>
          <cell r="I27" t="str">
            <v>6</v>
          </cell>
          <cell r="O27" t="str">
            <v>1000</v>
          </cell>
          <cell r="P27" t="str">
            <v>KO</v>
          </cell>
          <cell r="Q27" t="str">
            <v>6</v>
          </cell>
          <cell r="R27" t="str">
            <v>00085741</v>
          </cell>
          <cell r="T27" t="str">
            <v>6</v>
          </cell>
          <cell r="U27" t="str">
            <v>0</v>
          </cell>
          <cell r="X27" t="str">
            <v>1251</v>
          </cell>
          <cell r="AA27" t="str">
            <v>ﾀﾞｰｾﾞﾝ　　　H10TX50</v>
          </cell>
          <cell r="AB27" t="str">
            <v>0701</v>
          </cell>
          <cell r="AC27" t="str">
            <v>X</v>
          </cell>
          <cell r="AD27" t="str">
            <v>0701</v>
          </cell>
          <cell r="AE27" t="str">
            <v>01</v>
          </cell>
          <cell r="AG27" t="str">
            <v>PIMI</v>
          </cell>
          <cell r="AI27" t="str">
            <v>0060</v>
          </cell>
          <cell r="AJ27" t="str">
            <v>52042030</v>
          </cell>
          <cell r="AL27">
            <v>1000</v>
          </cell>
          <cell r="AM27" t="str">
            <v>P</v>
          </cell>
          <cell r="AO27">
            <v>770</v>
          </cell>
        </row>
        <row r="28">
          <cell r="F28" t="str">
            <v>13112000</v>
          </cell>
          <cell r="G28" t="str">
            <v>1251</v>
          </cell>
          <cell r="I28" t="str">
            <v>6</v>
          </cell>
          <cell r="O28" t="str">
            <v>4400</v>
          </cell>
          <cell r="P28" t="str">
            <v>ST</v>
          </cell>
          <cell r="Q28" t="str">
            <v>6</v>
          </cell>
          <cell r="R28" t="str">
            <v>13112004</v>
          </cell>
          <cell r="T28" t="str">
            <v>6</v>
          </cell>
          <cell r="U28" t="str">
            <v>0</v>
          </cell>
          <cell r="X28" t="str">
            <v>1251</v>
          </cell>
          <cell r="AA28" t="str">
            <v>ﾀﾞｰｾﾞﾝ</v>
          </cell>
          <cell r="AB28" t="str">
            <v>0100</v>
          </cell>
          <cell r="AF28" t="str">
            <v>58528</v>
          </cell>
          <cell r="AG28" t="str">
            <v>PIMI</v>
          </cell>
          <cell r="AH28"/>
          <cell r="AI28"/>
          <cell r="AJ28"/>
          <cell r="AL28"/>
          <cell r="AM28"/>
          <cell r="AO28">
            <v>0</v>
          </cell>
        </row>
        <row r="29">
          <cell r="F29" t="str">
            <v>13112000</v>
          </cell>
          <cell r="G29" t="str">
            <v>1251</v>
          </cell>
          <cell r="I29" t="str">
            <v>6</v>
          </cell>
          <cell r="O29" t="str">
            <v>4400</v>
          </cell>
          <cell r="P29" t="str">
            <v>ST</v>
          </cell>
          <cell r="Q29" t="str">
            <v>6</v>
          </cell>
          <cell r="R29" t="str">
            <v>13112004</v>
          </cell>
          <cell r="T29" t="str">
            <v>6</v>
          </cell>
          <cell r="U29" t="str">
            <v>0</v>
          </cell>
          <cell r="X29" t="str">
            <v>1251</v>
          </cell>
          <cell r="AA29" t="str">
            <v>ﾀﾞｰｾﾞﾝ</v>
          </cell>
          <cell r="AB29" t="str">
            <v>0101</v>
          </cell>
          <cell r="AC29" t="str">
            <v>X</v>
          </cell>
          <cell r="AD29" t="str">
            <v>0100</v>
          </cell>
          <cell r="AE29" t="str">
            <v>01</v>
          </cell>
          <cell r="AG29" t="str">
            <v>PIMI</v>
          </cell>
          <cell r="AI29" t="str">
            <v>0010</v>
          </cell>
          <cell r="AJ29">
            <v>1311200401</v>
          </cell>
          <cell r="AL29">
            <v>4400</v>
          </cell>
          <cell r="AM29" t="str">
            <v>ST</v>
          </cell>
          <cell r="AO29">
            <v>110</v>
          </cell>
        </row>
        <row r="30">
          <cell r="F30" t="str">
            <v>13112001</v>
          </cell>
          <cell r="G30" t="str">
            <v>1251</v>
          </cell>
          <cell r="I30" t="str">
            <v>6</v>
          </cell>
          <cell r="O30" t="str">
            <v>4400</v>
          </cell>
          <cell r="P30" t="str">
            <v>ST</v>
          </cell>
          <cell r="Q30" t="str">
            <v>6</v>
          </cell>
          <cell r="R30" t="str">
            <v>1311200401</v>
          </cell>
          <cell r="T30" t="str">
            <v>6</v>
          </cell>
          <cell r="U30" t="str">
            <v>0</v>
          </cell>
          <cell r="X30" t="str">
            <v>1251</v>
          </cell>
          <cell r="AA30" t="str">
            <v>ﾀﾞｰｾﾞﾝ</v>
          </cell>
          <cell r="AB30" t="str">
            <v>0100</v>
          </cell>
          <cell r="AF30" t="str">
            <v>58526</v>
          </cell>
          <cell r="AG30" t="str">
            <v>PIMI</v>
          </cell>
          <cell r="AH30"/>
          <cell r="AI30"/>
          <cell r="AJ30"/>
          <cell r="AL30"/>
          <cell r="AM30"/>
          <cell r="AO30">
            <v>0</v>
          </cell>
        </row>
        <row r="31">
          <cell r="F31" t="str">
            <v>13112001</v>
          </cell>
          <cell r="G31" t="str">
            <v>1251</v>
          </cell>
          <cell r="I31" t="str">
            <v>6</v>
          </cell>
          <cell r="O31" t="str">
            <v>4400</v>
          </cell>
          <cell r="P31" t="str">
            <v>ST</v>
          </cell>
          <cell r="Q31" t="str">
            <v>6</v>
          </cell>
          <cell r="R31" t="str">
            <v>1311200401</v>
          </cell>
          <cell r="T31" t="str">
            <v>6</v>
          </cell>
          <cell r="U31" t="str">
            <v>0</v>
          </cell>
          <cell r="X31" t="str">
            <v>1251</v>
          </cell>
          <cell r="AA31" t="str">
            <v>ﾀﾞｰｾﾞﾝ</v>
          </cell>
          <cell r="AB31" t="str">
            <v>0101</v>
          </cell>
          <cell r="AC31" t="str">
            <v>X</v>
          </cell>
          <cell r="AD31" t="str">
            <v>0100</v>
          </cell>
          <cell r="AE31" t="str">
            <v>01</v>
          </cell>
          <cell r="AG31" t="str">
            <v>PIMI</v>
          </cell>
          <cell r="AI31" t="str">
            <v>0010</v>
          </cell>
          <cell r="AJ31">
            <v>1311200402</v>
          </cell>
          <cell r="AL31">
            <v>4400</v>
          </cell>
          <cell r="AM31" t="str">
            <v>ST</v>
          </cell>
          <cell r="AO31">
            <v>120</v>
          </cell>
        </row>
        <row r="32">
          <cell r="F32" t="str">
            <v>13112002</v>
          </cell>
          <cell r="G32" t="str">
            <v>1251</v>
          </cell>
          <cell r="I32" t="str">
            <v>6</v>
          </cell>
          <cell r="O32" t="str">
            <v>4400</v>
          </cell>
          <cell r="P32" t="str">
            <v>ST</v>
          </cell>
          <cell r="Q32" t="str">
            <v>6</v>
          </cell>
          <cell r="R32" t="str">
            <v>1311200402</v>
          </cell>
          <cell r="T32" t="str">
            <v>6</v>
          </cell>
          <cell r="U32" t="str">
            <v>0</v>
          </cell>
          <cell r="X32" t="str">
            <v>1251</v>
          </cell>
          <cell r="AA32" t="str">
            <v>ﾀﾞｰｾﾞﾝ</v>
          </cell>
          <cell r="AB32" t="str">
            <v>0100</v>
          </cell>
          <cell r="AF32" t="str">
            <v>58522</v>
          </cell>
          <cell r="AG32" t="str">
            <v>PIMI</v>
          </cell>
          <cell r="AH32"/>
          <cell r="AI32"/>
          <cell r="AJ32"/>
          <cell r="AL32"/>
          <cell r="AM32"/>
          <cell r="AO32">
            <v>0</v>
          </cell>
        </row>
        <row r="33">
          <cell r="F33" t="str">
            <v>13112002</v>
          </cell>
          <cell r="G33" t="str">
            <v>1251</v>
          </cell>
          <cell r="I33" t="str">
            <v>6</v>
          </cell>
          <cell r="O33" t="str">
            <v>4400</v>
          </cell>
          <cell r="P33" t="str">
            <v>ST</v>
          </cell>
          <cell r="Q33" t="str">
            <v>6</v>
          </cell>
          <cell r="R33" t="str">
            <v>1311200402</v>
          </cell>
          <cell r="T33" t="str">
            <v>6</v>
          </cell>
          <cell r="U33" t="str">
            <v>0</v>
          </cell>
          <cell r="X33" t="str">
            <v>1251</v>
          </cell>
          <cell r="AA33" t="str">
            <v>ﾀﾞｰｾﾞﾝ</v>
          </cell>
          <cell r="AB33" t="str">
            <v>0101</v>
          </cell>
          <cell r="AC33" t="str">
            <v>X</v>
          </cell>
          <cell r="AD33" t="str">
            <v>0100</v>
          </cell>
          <cell r="AE33" t="str">
            <v>01</v>
          </cell>
          <cell r="AG33" t="str">
            <v>PIMI</v>
          </cell>
          <cell r="AI33" t="str">
            <v>0010</v>
          </cell>
          <cell r="AJ33">
            <v>1311200403</v>
          </cell>
          <cell r="AL33">
            <v>4400</v>
          </cell>
          <cell r="AM33" t="str">
            <v>ST</v>
          </cell>
          <cell r="AO33">
            <v>130</v>
          </cell>
        </row>
        <row r="34">
          <cell r="F34" t="str">
            <v>13112003</v>
          </cell>
          <cell r="G34" t="str">
            <v>1251</v>
          </cell>
          <cell r="I34" t="str">
            <v>6</v>
          </cell>
          <cell r="O34" t="str">
            <v>4400</v>
          </cell>
          <cell r="P34" t="str">
            <v>ST</v>
          </cell>
          <cell r="Q34" t="str">
            <v>6</v>
          </cell>
          <cell r="R34" t="str">
            <v>1311200403</v>
          </cell>
          <cell r="T34" t="str">
            <v>6</v>
          </cell>
          <cell r="U34" t="str">
            <v>0</v>
          </cell>
          <cell r="X34" t="str">
            <v>1251</v>
          </cell>
          <cell r="AA34" t="str">
            <v>ﾀﾞｰｾﾞﾝ</v>
          </cell>
          <cell r="AB34" t="str">
            <v>0100</v>
          </cell>
          <cell r="AF34" t="str">
            <v>58520</v>
          </cell>
          <cell r="AG34" t="str">
            <v>PI01</v>
          </cell>
          <cell r="AH34"/>
          <cell r="AI34"/>
          <cell r="AJ34"/>
          <cell r="AL34"/>
          <cell r="AM34"/>
          <cell r="AO34">
            <v>0</v>
          </cell>
        </row>
        <row r="35">
          <cell r="F35" t="str">
            <v>13112003</v>
          </cell>
          <cell r="G35" t="str">
            <v>1251</v>
          </cell>
          <cell r="I35" t="str">
            <v>6</v>
          </cell>
          <cell r="O35" t="str">
            <v>4400</v>
          </cell>
          <cell r="P35" t="str">
            <v>ST</v>
          </cell>
          <cell r="Q35" t="str">
            <v>6</v>
          </cell>
          <cell r="R35" t="str">
            <v>1311200403</v>
          </cell>
          <cell r="T35" t="str">
            <v>6</v>
          </cell>
          <cell r="U35" t="str">
            <v>0</v>
          </cell>
          <cell r="X35" t="str">
            <v>1251</v>
          </cell>
          <cell r="AA35" t="str">
            <v>ﾀﾞｰｾﾞﾝ</v>
          </cell>
          <cell r="AB35" t="str">
            <v>0101</v>
          </cell>
          <cell r="AC35" t="str">
            <v>X</v>
          </cell>
          <cell r="AD35" t="str">
            <v>0100</v>
          </cell>
          <cell r="AE35" t="str">
            <v>01</v>
          </cell>
          <cell r="AG35" t="str">
            <v>PI01</v>
          </cell>
          <cell r="AI35" t="str">
            <v>0010</v>
          </cell>
          <cell r="AJ35" t="str">
            <v>20190657</v>
          </cell>
          <cell r="AL35">
            <v>13.32</v>
          </cell>
          <cell r="AM35" t="str">
            <v>KG</v>
          </cell>
          <cell r="AO35">
            <v>140</v>
          </cell>
        </row>
        <row r="36">
          <cell r="F36" t="str">
            <v>13112003</v>
          </cell>
          <cell r="G36" t="str">
            <v>1251</v>
          </cell>
          <cell r="I36" t="str">
            <v>6</v>
          </cell>
          <cell r="O36" t="str">
            <v>4400</v>
          </cell>
          <cell r="P36" t="str">
            <v>ST</v>
          </cell>
          <cell r="Q36" t="str">
            <v>6</v>
          </cell>
          <cell r="R36" t="str">
            <v>1311200403</v>
          </cell>
          <cell r="T36" t="str">
            <v>6</v>
          </cell>
          <cell r="U36" t="str">
            <v>0</v>
          </cell>
          <cell r="X36" t="str">
            <v>1251</v>
          </cell>
          <cell r="AA36" t="str">
            <v>ﾀﾞｰｾﾞﾝ</v>
          </cell>
          <cell r="AB36" t="str">
            <v>0101</v>
          </cell>
          <cell r="AC36" t="str">
            <v>X</v>
          </cell>
          <cell r="AD36" t="str">
            <v>0100</v>
          </cell>
          <cell r="AE36" t="str">
            <v>01</v>
          </cell>
          <cell r="AG36" t="str">
            <v>PI01</v>
          </cell>
          <cell r="AI36" t="str">
            <v>0020</v>
          </cell>
          <cell r="AJ36" t="str">
            <v>20278068</v>
          </cell>
          <cell r="AL36">
            <v>4.4400000000000004</v>
          </cell>
          <cell r="AM36" t="str">
            <v>KG</v>
          </cell>
          <cell r="AO36">
            <v>150</v>
          </cell>
        </row>
        <row r="37">
          <cell r="F37" t="str">
            <v>13112003</v>
          </cell>
          <cell r="G37" t="str">
            <v>1251</v>
          </cell>
          <cell r="I37" t="str">
            <v>6</v>
          </cell>
          <cell r="O37" t="str">
            <v>4400</v>
          </cell>
          <cell r="P37" t="str">
            <v>ST</v>
          </cell>
          <cell r="Q37" t="str">
            <v>6</v>
          </cell>
          <cell r="R37" t="str">
            <v>1311200403</v>
          </cell>
          <cell r="T37" t="str">
            <v>6</v>
          </cell>
          <cell r="U37" t="str">
            <v>0</v>
          </cell>
          <cell r="X37" t="str">
            <v>1251</v>
          </cell>
          <cell r="AA37" t="str">
            <v>ﾀﾞｰｾﾞﾝ</v>
          </cell>
          <cell r="AB37" t="str">
            <v>0101</v>
          </cell>
          <cell r="AC37" t="str">
            <v>X</v>
          </cell>
          <cell r="AD37" t="str">
            <v>0100</v>
          </cell>
          <cell r="AE37" t="str">
            <v>01</v>
          </cell>
          <cell r="AG37" t="str">
            <v>PI01</v>
          </cell>
          <cell r="AI37" t="str">
            <v>0030</v>
          </cell>
          <cell r="AJ37" t="str">
            <v>16491002</v>
          </cell>
          <cell r="AL37">
            <v>159.4</v>
          </cell>
          <cell r="AM37" t="str">
            <v>KG</v>
          </cell>
          <cell r="AO37">
            <v>160</v>
          </cell>
        </row>
        <row r="38">
          <cell r="F38" t="str">
            <v>13112003</v>
          </cell>
          <cell r="G38" t="str">
            <v>1251</v>
          </cell>
          <cell r="I38" t="str">
            <v>6</v>
          </cell>
          <cell r="J38" t="str">
            <v>1</v>
          </cell>
          <cell r="O38" t="str">
            <v>4400</v>
          </cell>
          <cell r="P38" t="str">
            <v>ST</v>
          </cell>
          <cell r="Q38" t="str">
            <v>6</v>
          </cell>
          <cell r="R38" t="str">
            <v>1311200403</v>
          </cell>
          <cell r="T38" t="str">
            <v>6</v>
          </cell>
          <cell r="U38" t="str">
            <v>0</v>
          </cell>
          <cell r="X38" t="str">
            <v>1251</v>
          </cell>
          <cell r="AA38" t="str">
            <v>ﾀﾞｰｾﾞﾝ</v>
          </cell>
          <cell r="AB38" t="str">
            <v>0200</v>
          </cell>
          <cell r="AF38" t="str">
            <v>58520</v>
          </cell>
          <cell r="AG38" t="str">
            <v>PI01</v>
          </cell>
          <cell r="AH38"/>
          <cell r="AI38"/>
          <cell r="AJ38"/>
          <cell r="AL38"/>
          <cell r="AM38"/>
          <cell r="AO38">
            <v>0</v>
          </cell>
        </row>
        <row r="39">
          <cell r="F39" t="str">
            <v>13112003</v>
          </cell>
          <cell r="G39" t="str">
            <v>1251</v>
          </cell>
          <cell r="I39" t="str">
            <v>6</v>
          </cell>
          <cell r="O39" t="str">
            <v>4400</v>
          </cell>
          <cell r="P39" t="str">
            <v>ST</v>
          </cell>
          <cell r="Q39" t="str">
            <v>6</v>
          </cell>
          <cell r="R39" t="str">
            <v>1311200403</v>
          </cell>
          <cell r="T39" t="str">
            <v>6</v>
          </cell>
          <cell r="U39" t="str">
            <v>0</v>
          </cell>
          <cell r="X39" t="str">
            <v>1251</v>
          </cell>
          <cell r="AA39" t="str">
            <v>ﾀﾞｰｾﾞﾝ</v>
          </cell>
          <cell r="AB39" t="str">
            <v>0201</v>
          </cell>
          <cell r="AC39" t="str">
            <v>X</v>
          </cell>
          <cell r="AE39" t="str">
            <v>01</v>
          </cell>
          <cell r="AG39" t="str">
            <v>PI01</v>
          </cell>
          <cell r="AI39" t="str">
            <v>0040</v>
          </cell>
          <cell r="AJ39" t="str">
            <v>20430036</v>
          </cell>
          <cell r="AL39">
            <v>99.9</v>
          </cell>
          <cell r="AM39" t="str">
            <v>KG</v>
          </cell>
          <cell r="AO39">
            <v>70</v>
          </cell>
        </row>
        <row r="40">
          <cell r="F40" t="str">
            <v>13112003</v>
          </cell>
          <cell r="G40" t="str">
            <v>1251</v>
          </cell>
          <cell r="I40" t="str">
            <v>6</v>
          </cell>
          <cell r="O40" t="str">
            <v>4400</v>
          </cell>
          <cell r="P40" t="str">
            <v>ST</v>
          </cell>
          <cell r="Q40" t="str">
            <v>6</v>
          </cell>
          <cell r="R40" t="str">
            <v>1311200403</v>
          </cell>
          <cell r="T40" t="str">
            <v>6</v>
          </cell>
          <cell r="U40" t="str">
            <v>0</v>
          </cell>
          <cell r="X40" t="str">
            <v>1251</v>
          </cell>
          <cell r="AA40" t="str">
            <v>ﾀﾞｰｾﾞﾝ</v>
          </cell>
          <cell r="AB40" t="str">
            <v>0600</v>
          </cell>
          <cell r="AF40" t="str">
            <v>58520</v>
          </cell>
          <cell r="AG40" t="str">
            <v>PIMI</v>
          </cell>
          <cell r="AH40"/>
          <cell r="AI40"/>
          <cell r="AJ40"/>
          <cell r="AL40"/>
          <cell r="AM40"/>
          <cell r="AO40">
            <v>0</v>
          </cell>
        </row>
        <row r="41">
          <cell r="F41" t="str">
            <v>13112003</v>
          </cell>
          <cell r="G41" t="str">
            <v>1251</v>
          </cell>
          <cell r="I41" t="str">
            <v>6</v>
          </cell>
          <cell r="O41" t="str">
            <v>4400</v>
          </cell>
          <cell r="P41" t="str">
            <v>ST</v>
          </cell>
          <cell r="Q41" t="str">
            <v>6</v>
          </cell>
          <cell r="R41" t="str">
            <v>1311200403</v>
          </cell>
          <cell r="T41" t="str">
            <v>6</v>
          </cell>
          <cell r="U41" t="str">
            <v>0</v>
          </cell>
          <cell r="X41" t="str">
            <v>1251</v>
          </cell>
          <cell r="AA41" t="str">
            <v>ﾀﾞｰｾﾞﾝ</v>
          </cell>
          <cell r="AB41" t="str">
            <v>0601</v>
          </cell>
          <cell r="AC41" t="str">
            <v>X</v>
          </cell>
          <cell r="AE41" t="str">
            <v>01</v>
          </cell>
          <cell r="AG41" t="str">
            <v>PIMI</v>
          </cell>
          <cell r="AI41" t="str">
            <v>0050</v>
          </cell>
          <cell r="AJ41" t="str">
            <v>12748006</v>
          </cell>
          <cell r="AL41">
            <v>28.84</v>
          </cell>
          <cell r="AM41" t="str">
            <v>KG</v>
          </cell>
          <cell r="AO41">
            <v>80</v>
          </cell>
        </row>
        <row r="42">
          <cell r="AO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CT970611全箇所"/>
      <sheetName val="表紙"/>
      <sheetName val="RCP作業"/>
      <sheetName val="社員リスト"/>
      <sheetName val="承認票"/>
      <sheetName val="DDMAST"/>
      <sheetName val="Segment List"/>
      <sheetName val="停止時間（Worst5）"/>
      <sheetName val="稼働率（Worst5）"/>
      <sheetName val="調整コスト(Worst5)"/>
      <sheetName val="チョコ停"/>
      <sheetName val="後半グラフ用"/>
      <sheetName val="前半グラフ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8000全製品"/>
      <sheetName val="例"/>
      <sheetName val="例 (2)"/>
      <sheetName val="ラック図 (2)"/>
      <sheetName val="仕切り率"/>
      <sheetName val="勤務体系"/>
      <sheetName val="承認票"/>
      <sheetName val="CAP WORKSHEET"/>
      <sheetName val="Data"/>
      <sheetName val="社員リスト"/>
      <sheetName val="仕上チェック機能"/>
      <sheetName val="参考"/>
      <sheetName val="X"/>
      <sheetName val="RCP作業"/>
      <sheetName val="LIST"/>
      <sheetName val="ﾘｽﾄ"/>
      <sheetName val="ＭＢ特価損益"/>
      <sheetName val="パラメータ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A"/>
    </sheetNames>
    <definedNames>
      <definedName name="Cancel_DFDS" refersTo="#REF!"/>
      <definedName name="Grp_Select"/>
      <definedName name="Save_DFEDIT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ＦＢ外為データ取得"/>
      <sheetName val="ＦＢ外為データ項目一覧"/>
      <sheetName val="B11GAIT2"/>
      <sheetName val="(A)min"/>
      <sheetName val="Weekly Line "/>
      <sheetName val="FT8000全製品"/>
      <sheetName val="02-16"/>
      <sheetName val="17-18"/>
      <sheetName val="B11GAIT2.XLS"/>
      <sheetName val="Data"/>
      <sheetName val="社員リスト"/>
      <sheetName val="顧客リスト"/>
      <sheetName val="LIST"/>
      <sheetName val="INPUT"/>
      <sheetName val="SL(Hole1.0)"/>
      <sheetName val="表紙"/>
      <sheetName val="Weekly_Line_"/>
      <sheetName val="B11GAIT2_XLS"/>
      <sheetName val="FB外為データ項目一覧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顧客リスト"/>
      <sheetName val="見積送り状"/>
      <sheetName val="見積回答書"/>
      <sheetName val="SE見積書"/>
      <sheetName val="見積条件書A"/>
      <sheetName val="見積回答チェックリスト"/>
      <sheetName val="基本情報"/>
      <sheetName val="内訳１（ＳＥ工数）"/>
      <sheetName val="内訳２（サーバ直材費）"/>
      <sheetName val="内訳２（ストレージ直材費）"/>
      <sheetName val="内訳２（OS・MW）"/>
      <sheetName val="販直費（CE作業）"/>
      <sheetName val="見積回答チェックリスト(外販)"/>
      <sheetName val="様式２（ﾘｽｸｺﾝﾃｨﾝｼﾞｪﾝｼ）"/>
      <sheetName val="様式1.表紙(SI用）外販"/>
      <sheetName val="様式1.表紙(SI用）社供出し"/>
      <sheetName val="様式2.表紙(開発用）"/>
      <sheetName val="様式3.改定欄"/>
      <sheetName val="様式4.プロ計目次（SI用）"/>
      <sheetName val="様式5.プロ計目次（開発用）"/>
      <sheetName val="様式6.設計へのインプット"/>
      <sheetName val="様式7.納入物件一覧"/>
      <sheetName val="様式8.開発成果物一覧（開発用）"/>
      <sheetName val="様式9.開発成果と事業展望（開発用)"/>
      <sheetName val="様式10.開発基本仕様(開発用)"/>
      <sheetName val="様式11.プロジェクト推進方針"/>
      <sheetName val="様式12(1).プロセス・ライフサイクル選択"/>
      <sheetName val="様式12(2).情報セキュリティ推進計画"/>
      <sheetName val="様式13.プロセスとライフサイクルの選択（開発用)"/>
      <sheetName val="記入方法説明"/>
      <sheetName val="記入例"/>
      <sheetName val="プロジェクト管理表_1"/>
      <sheetName val="プロジェクト管理表_2"/>
      <sheetName val="工程表"/>
      <sheetName val="計画・実績推移グラフ"/>
      <sheetName val="課題管理リスト"/>
      <sheetName val="完了報告"/>
    </sheetNames>
    <sheetDataSet>
      <sheetData sheetId="0" refreshError="1">
        <row r="5">
          <cell r="B5" t="str">
            <v>会社名</v>
          </cell>
          <cell r="C5" t="str">
            <v>ふりがな</v>
          </cell>
          <cell r="D5" t="str">
            <v>部署名</v>
          </cell>
          <cell r="E5" t="str">
            <v>担当者名</v>
          </cell>
          <cell r="F5" t="str">
            <v>請求コード</v>
          </cell>
        </row>
        <row r="6">
          <cell r="A6">
            <v>1</v>
          </cell>
          <cell r="B6" t="str">
            <v>三菱地所株式会社</v>
          </cell>
          <cell r="F6" t="str">
            <v>６７２</v>
          </cell>
        </row>
        <row r="7">
          <cell r="A7">
            <v>2</v>
          </cell>
          <cell r="B7" t="str">
            <v>戸田建設株式会社</v>
          </cell>
        </row>
        <row r="8">
          <cell r="A8">
            <v>3</v>
          </cell>
          <cell r="B8" t="str">
            <v>大東建託株式会社</v>
          </cell>
        </row>
        <row r="9">
          <cell r="A9">
            <v>4</v>
          </cell>
          <cell r="B9" t="str">
            <v>ﾒｯｸ情報開発株式会社</v>
          </cell>
        </row>
        <row r="10">
          <cell r="A10">
            <v>5</v>
          </cell>
          <cell r="B10" t="str">
            <v>ﾒﾙｺﾑｻｰﾋﾞｽ株式会社</v>
          </cell>
        </row>
        <row r="11">
          <cell r="A11">
            <v>6</v>
          </cell>
          <cell r="B11" t="str">
            <v>菱電商事株式会社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  <row r="16">
          <cell r="A16">
            <v>11</v>
          </cell>
        </row>
        <row r="17">
          <cell r="A17">
            <v>12</v>
          </cell>
        </row>
        <row r="18">
          <cell r="A18">
            <v>13</v>
          </cell>
        </row>
        <row r="19">
          <cell r="A19">
            <v>14</v>
          </cell>
        </row>
        <row r="20">
          <cell r="A20">
            <v>15</v>
          </cell>
        </row>
        <row r="21">
          <cell r="A21">
            <v>16</v>
          </cell>
        </row>
        <row r="22">
          <cell r="A22">
            <v>17</v>
          </cell>
        </row>
        <row r="23">
          <cell r="A23">
            <v>18</v>
          </cell>
        </row>
        <row r="24">
          <cell r="A24">
            <v>19</v>
          </cell>
        </row>
        <row r="25">
          <cell r="A25">
            <v>20</v>
          </cell>
        </row>
        <row r="26">
          <cell r="A26">
            <v>21</v>
          </cell>
        </row>
        <row r="27">
          <cell r="A27">
            <v>22</v>
          </cell>
        </row>
        <row r="28">
          <cell r="A28">
            <v>23</v>
          </cell>
        </row>
        <row r="29">
          <cell r="A29">
            <v>24</v>
          </cell>
        </row>
        <row r="30">
          <cell r="A30">
            <v>25</v>
          </cell>
        </row>
        <row r="31">
          <cell r="A31">
            <v>26</v>
          </cell>
        </row>
        <row r="32">
          <cell r="A32">
            <v>27</v>
          </cell>
        </row>
        <row r="33">
          <cell r="A33">
            <v>28</v>
          </cell>
        </row>
        <row r="34">
          <cell r="A34">
            <v>29</v>
          </cell>
        </row>
        <row r="35">
          <cell r="A35">
            <v>30</v>
          </cell>
        </row>
        <row r="36">
          <cell r="A36">
            <v>31</v>
          </cell>
        </row>
        <row r="37">
          <cell r="A37">
            <v>32</v>
          </cell>
        </row>
        <row r="38">
          <cell r="A38">
            <v>33</v>
          </cell>
        </row>
        <row r="39">
          <cell r="A39">
            <v>34</v>
          </cell>
        </row>
        <row r="40">
          <cell r="A40">
            <v>35</v>
          </cell>
        </row>
        <row r="41">
          <cell r="A41">
            <v>36</v>
          </cell>
        </row>
        <row r="42">
          <cell r="A42">
            <v>37</v>
          </cell>
        </row>
        <row r="43">
          <cell r="A43">
            <v>38</v>
          </cell>
        </row>
        <row r="44">
          <cell r="A44">
            <v>39</v>
          </cell>
        </row>
        <row r="45">
          <cell r="A45">
            <v>40</v>
          </cell>
        </row>
        <row r="46">
          <cell r="A46">
            <v>41</v>
          </cell>
        </row>
        <row r="47">
          <cell r="A47">
            <v>42</v>
          </cell>
        </row>
        <row r="48">
          <cell r="A48">
            <v>43</v>
          </cell>
        </row>
        <row r="49">
          <cell r="A49">
            <v>44</v>
          </cell>
        </row>
        <row r="50">
          <cell r="A50">
            <v>45</v>
          </cell>
        </row>
        <row r="51">
          <cell r="A51">
            <v>46</v>
          </cell>
        </row>
        <row r="52">
          <cell r="A52">
            <v>47</v>
          </cell>
        </row>
        <row r="53">
          <cell r="A53">
            <v>48</v>
          </cell>
        </row>
        <row r="54">
          <cell r="A54">
            <v>49</v>
          </cell>
        </row>
        <row r="55">
          <cell r="A55">
            <v>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"/>
      <sheetName val="顧客リスト"/>
      <sheetName val="Cover"/>
      <sheetName val="ＦＢ外為データ項目一覧"/>
      <sheetName val="　受注検討書発行～　"/>
      <sheetName val="別紙・請求伝票タイプ"/>
      <sheetName val="FT8000全製品"/>
      <sheetName val="MDI_Material Master"/>
      <sheetName val="total  actual  input"/>
      <sheetName val="total  actual  output"/>
      <sheetName val="total  plan  input"/>
      <sheetName val="total  plan  output"/>
      <sheetName val="残業"/>
      <sheetName val="TCT970611全箇所"/>
      <sheetName val="MDI_Material_Master"/>
      <sheetName val="total__actual__input"/>
      <sheetName val="total__actual__output"/>
      <sheetName val="total__plan__input"/>
      <sheetName val="total__plan__output"/>
    </sheetNames>
    <definedNames>
      <definedName name="DD_Ref"/>
      <definedName name="Save_D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伝票タイプ一覧"/>
      <sheetName val="一覧"/>
      <sheetName val="型TB"/>
      <sheetName val="仕切り率"/>
      <sheetName val="経営対比(金型)"/>
      <sheetName val="S900zaam"/>
      <sheetName val="別紙・請求伝票タイプ"/>
      <sheetName val="顧客リスト"/>
      <sheetName val="残業"/>
      <sheetName val="GUETLIST"/>
      <sheetName val="ＦＢ外為データ項目一覧"/>
    </sheetNames>
    <sheetDataSet>
      <sheetData sheetId="0" refreshError="1">
        <row r="2">
          <cell r="A2" t="str">
            <v>B1</v>
          </cell>
          <cell r="B2" t="str">
            <v>月次経費配賦</v>
          </cell>
        </row>
        <row r="3">
          <cell r="A3" t="str">
            <v>B2</v>
          </cell>
          <cell r="B3" t="str">
            <v>月次経費配賦_転送</v>
          </cell>
        </row>
        <row r="4">
          <cell r="A4" t="str">
            <v>B3</v>
          </cell>
          <cell r="B4" t="str">
            <v>社内税金計上</v>
          </cell>
        </row>
        <row r="5">
          <cell r="A5" t="str">
            <v>B4</v>
          </cell>
          <cell r="B5" t="str">
            <v>社内税金計上_転送</v>
          </cell>
        </row>
        <row r="6">
          <cell r="A6" t="str">
            <v>B5</v>
          </cell>
          <cell r="B6" t="str">
            <v>社内剰余金利息</v>
          </cell>
        </row>
        <row r="7">
          <cell r="A7" t="str">
            <v>B6</v>
          </cell>
          <cell r="B7" t="str">
            <v>社内剰余金利息_転送</v>
          </cell>
        </row>
        <row r="8">
          <cell r="A8" t="str">
            <v>B7</v>
          </cell>
          <cell r="B8" t="str">
            <v>社内税金振替</v>
          </cell>
        </row>
        <row r="9">
          <cell r="A9" t="str">
            <v>B8</v>
          </cell>
          <cell r="B9" t="str">
            <v>社内税金振替_転送</v>
          </cell>
        </row>
        <row r="10">
          <cell r="A10" t="str">
            <v>B9</v>
          </cell>
          <cell r="B10" t="str">
            <v>使用資金金利配賦</v>
          </cell>
        </row>
        <row r="11">
          <cell r="A11" t="str">
            <v>C1</v>
          </cell>
          <cell r="B11" t="str">
            <v>前払原価諸掛</v>
          </cell>
        </row>
        <row r="12">
          <cell r="A12" t="str">
            <v>C3</v>
          </cell>
          <cell r="B12" t="str">
            <v>前期繰越損益</v>
          </cell>
        </row>
        <row r="13">
          <cell r="A13" t="str">
            <v>C4</v>
          </cell>
          <cell r="B13" t="str">
            <v>前期繰越損益_転送</v>
          </cell>
        </row>
        <row r="14">
          <cell r="A14" t="str">
            <v>C5</v>
          </cell>
          <cell r="B14" t="str">
            <v>消費税本部振替</v>
          </cell>
        </row>
        <row r="15">
          <cell r="A15" t="str">
            <v>C6</v>
          </cell>
          <cell r="B15" t="str">
            <v>消費税本部振替_転送</v>
          </cell>
        </row>
        <row r="16">
          <cell r="A16" t="str">
            <v>CA</v>
          </cell>
          <cell r="B16" t="str">
            <v>全社決算ﾃﾞｰﾀ更新</v>
          </cell>
        </row>
        <row r="17">
          <cell r="A17" t="str">
            <v>CB</v>
          </cell>
          <cell r="B17" t="str">
            <v>公表調整伝票</v>
          </cell>
        </row>
        <row r="18">
          <cell r="A18" t="str">
            <v>CE</v>
          </cell>
          <cell r="B18" t="str">
            <v>社内勘定相殺</v>
          </cell>
        </row>
        <row r="19">
          <cell r="A19" t="str">
            <v>CG</v>
          </cell>
          <cell r="B19" t="str">
            <v>関係会社計数</v>
          </cell>
        </row>
        <row r="20">
          <cell r="A20" t="str">
            <v>CH</v>
          </cell>
          <cell r="B20" t="str">
            <v>対外予約レート換算替</v>
          </cell>
        </row>
        <row r="21">
          <cell r="A21" t="str">
            <v>CI</v>
          </cell>
          <cell r="B21" t="str">
            <v>期日別長短振替</v>
          </cell>
        </row>
        <row r="22">
          <cell r="A22" t="str">
            <v>CM</v>
          </cell>
          <cell r="B22" t="str">
            <v>公表調整用</v>
          </cell>
        </row>
        <row r="23">
          <cell r="A23" t="str">
            <v>CX</v>
          </cell>
          <cell r="B23" t="str">
            <v>本部追加伝票(振り戻しなし)</v>
          </cell>
        </row>
        <row r="24">
          <cell r="A24" t="str">
            <v>CY</v>
          </cell>
          <cell r="B24" t="str">
            <v>本部追加伝票(振り戻しあり)</v>
          </cell>
        </row>
        <row r="25">
          <cell r="A25" t="str">
            <v>D1</v>
          </cell>
          <cell r="B25" t="str">
            <v>換算替(月次)</v>
          </cell>
        </row>
        <row r="26">
          <cell r="A26" t="str">
            <v>D2</v>
          </cell>
          <cell r="B26" t="str">
            <v>換算替(期次)</v>
          </cell>
        </row>
        <row r="27">
          <cell r="A27" t="str">
            <v>D3</v>
          </cell>
          <cell r="B27" t="str">
            <v>換算替(期次－差分)</v>
          </cell>
        </row>
        <row r="28">
          <cell r="A28" t="str">
            <v>D4</v>
          </cell>
          <cell r="B28" t="str">
            <v>換算替(月次－取消)</v>
          </cell>
        </row>
        <row r="29">
          <cell r="A29" t="str">
            <v>D5</v>
          </cell>
          <cell r="B29" t="str">
            <v>換算替(期次－取消)</v>
          </cell>
        </row>
        <row r="30">
          <cell r="A30" t="str">
            <v>E1</v>
          </cell>
          <cell r="B30" t="str">
            <v>商品ルート／仕入伝票／東京</v>
          </cell>
        </row>
        <row r="31">
          <cell r="A31" t="str">
            <v>E3</v>
          </cell>
          <cell r="B31" t="str">
            <v>商品ルート／仕入伝票／大阪</v>
          </cell>
        </row>
        <row r="32">
          <cell r="A32" t="str">
            <v>E5</v>
          </cell>
          <cell r="B32" t="str">
            <v>商品ルート／仕入伝票／支社支店</v>
          </cell>
        </row>
        <row r="33">
          <cell r="A33" t="str">
            <v>E7</v>
          </cell>
          <cell r="B33" t="str">
            <v>商品ルート／仕入伝票／分社</v>
          </cell>
        </row>
        <row r="34">
          <cell r="A34" t="str">
            <v>F1</v>
          </cell>
          <cell r="B34" t="str">
            <v>商品ルート／売上伝票／東京</v>
          </cell>
        </row>
        <row r="35">
          <cell r="A35" t="str">
            <v>F3</v>
          </cell>
          <cell r="B35" t="str">
            <v>商品ルート／売上伝票／大阪</v>
          </cell>
        </row>
        <row r="36">
          <cell r="A36" t="str">
            <v>F5</v>
          </cell>
          <cell r="B36" t="str">
            <v>商品ルート／売上伝票／支社支店</v>
          </cell>
        </row>
        <row r="37">
          <cell r="A37" t="str">
            <v>F7</v>
          </cell>
          <cell r="B37" t="str">
            <v>商品ルート／売上伝票／分社</v>
          </cell>
        </row>
        <row r="38">
          <cell r="A38" t="str">
            <v>G1</v>
          </cell>
          <cell r="B38" t="str">
            <v>商品ルート／その他伝票／東京</v>
          </cell>
        </row>
        <row r="39">
          <cell r="A39" t="str">
            <v>G3</v>
          </cell>
          <cell r="B39" t="str">
            <v>商品ルート／その他伝票／大阪</v>
          </cell>
        </row>
        <row r="40">
          <cell r="A40" t="str">
            <v>G5</v>
          </cell>
          <cell r="B40" t="str">
            <v>商品ルート／その他伝票／支社支店</v>
          </cell>
        </row>
        <row r="41">
          <cell r="A41" t="str">
            <v>G7</v>
          </cell>
          <cell r="B41" t="str">
            <v>商品ルート／その他伝票／分社</v>
          </cell>
        </row>
        <row r="42">
          <cell r="A42" t="str">
            <v>H1</v>
          </cell>
          <cell r="B42" t="str">
            <v>通常振替</v>
          </cell>
        </row>
        <row r="43">
          <cell r="A43" t="str">
            <v>H2</v>
          </cell>
          <cell r="B43" t="str">
            <v>反対仕訳</v>
          </cell>
        </row>
        <row r="44">
          <cell r="A44" t="str">
            <v>H3</v>
          </cell>
          <cell r="B44" t="str">
            <v>他部門からの受入</v>
          </cell>
        </row>
        <row r="45">
          <cell r="A45" t="str">
            <v>H4</v>
          </cell>
          <cell r="B45" t="str">
            <v>他部門への振替</v>
          </cell>
        </row>
        <row r="46">
          <cell r="A46" t="str">
            <v>H5</v>
          </cell>
          <cell r="B46" t="str">
            <v>部門間振替相殺</v>
          </cell>
        </row>
        <row r="47">
          <cell r="A47" t="str">
            <v>H6</v>
          </cell>
          <cell r="B47" t="str">
            <v>保証債務（本体）</v>
          </cell>
        </row>
        <row r="48">
          <cell r="A48" t="str">
            <v>H7</v>
          </cell>
          <cell r="B48" t="str">
            <v>保証債務（保証料）</v>
          </cell>
        </row>
        <row r="49">
          <cell r="A49" t="str">
            <v>H8</v>
          </cell>
          <cell r="B49" t="str">
            <v>保証債務（本体）反対仕訳</v>
          </cell>
        </row>
        <row r="50">
          <cell r="A50" t="str">
            <v>H9</v>
          </cell>
          <cell r="B50" t="str">
            <v>期日引落</v>
          </cell>
        </row>
        <row r="51">
          <cell r="A51" t="str">
            <v>HA</v>
          </cell>
          <cell r="B51" t="str">
            <v>消費税調整自動仕訳</v>
          </cell>
        </row>
        <row r="52">
          <cell r="A52" t="str">
            <v>HB</v>
          </cell>
          <cell r="B52" t="str">
            <v xml:space="preserve">振替伝票 </v>
          </cell>
        </row>
        <row r="53">
          <cell r="A53" t="str">
            <v>J1</v>
          </cell>
          <cell r="B53" t="str">
            <v>使用資金金利</v>
          </cell>
        </row>
        <row r="54">
          <cell r="A54" t="str">
            <v>J2</v>
          </cell>
          <cell r="B54" t="str">
            <v>使用資金金利（転送先）</v>
          </cell>
        </row>
        <row r="55">
          <cell r="A55" t="str">
            <v>J3</v>
          </cell>
          <cell r="B55" t="str">
            <v>貿易金利経過金利</v>
          </cell>
        </row>
        <row r="56">
          <cell r="A56" t="str">
            <v>J4</v>
          </cell>
          <cell r="B56" t="str">
            <v>貸付金等金利</v>
          </cell>
        </row>
        <row r="57">
          <cell r="A57" t="str">
            <v>J6</v>
          </cell>
          <cell r="B57" t="str">
            <v>使用資金金利反対仕訳</v>
          </cell>
        </row>
        <row r="58">
          <cell r="A58" t="str">
            <v>J7</v>
          </cell>
          <cell r="B58" t="str">
            <v>使用資金金利転送用反対仕訳</v>
          </cell>
        </row>
        <row r="59">
          <cell r="A59" t="str">
            <v>J8</v>
          </cell>
          <cell r="B59" t="str">
            <v>外貨使用資金金利</v>
          </cell>
        </row>
        <row r="60">
          <cell r="A60" t="str">
            <v>J9</v>
          </cell>
          <cell r="B60" t="str">
            <v>外貨使用資金金利（転送先）</v>
          </cell>
        </row>
        <row r="61">
          <cell r="A61" t="str">
            <v>KR</v>
          </cell>
          <cell r="B61" t="str">
            <v>仕入先請求書</v>
          </cell>
        </row>
        <row r="62">
          <cell r="A62" t="str">
            <v>L1</v>
          </cell>
          <cell r="B62" t="str">
            <v>現預金</v>
          </cell>
        </row>
        <row r="63">
          <cell r="A63" t="str">
            <v>L2</v>
          </cell>
          <cell r="B63" t="str">
            <v>売買掛金元帳</v>
          </cell>
        </row>
        <row r="64">
          <cell r="A64" t="str">
            <v>L3</v>
          </cell>
          <cell r="B64" t="str">
            <v>諸勘定元帳</v>
          </cell>
        </row>
        <row r="65">
          <cell r="A65" t="str">
            <v>L4</v>
          </cell>
          <cell r="B65" t="str">
            <v>手形借入金元帳</v>
          </cell>
        </row>
        <row r="66">
          <cell r="A66" t="str">
            <v>L5</v>
          </cell>
          <cell r="B66" t="str">
            <v>諸勘定残明細</v>
          </cell>
        </row>
        <row r="67">
          <cell r="A67" t="str">
            <v>L6</v>
          </cell>
          <cell r="B67" t="str">
            <v>未払原価諸掛</v>
          </cell>
        </row>
        <row r="68">
          <cell r="A68" t="str">
            <v>L7</v>
          </cell>
          <cell r="B68" t="str">
            <v>支払手形</v>
          </cell>
        </row>
        <row r="69">
          <cell r="A69" t="str">
            <v>L8</v>
          </cell>
          <cell r="B69" t="str">
            <v>受取手形</v>
          </cell>
        </row>
        <row r="70">
          <cell r="A70" t="str">
            <v>L9</v>
          </cell>
          <cell r="B70" t="str">
            <v>期日付残明細</v>
          </cell>
        </row>
        <row r="71">
          <cell r="A71" t="str">
            <v>LA</v>
          </cell>
          <cell r="B71" t="str">
            <v>営業成績表</v>
          </cell>
        </row>
        <row r="72">
          <cell r="A72" t="str">
            <v>LB</v>
          </cell>
          <cell r="B72" t="str">
            <v>貸借対照表</v>
          </cell>
        </row>
        <row r="73">
          <cell r="A73" t="str">
            <v>LC</v>
          </cell>
          <cell r="B73" t="str">
            <v>借入金</v>
          </cell>
        </row>
        <row r="74">
          <cell r="A74" t="str">
            <v>LD</v>
          </cell>
          <cell r="B74" t="str">
            <v>貸付金</v>
          </cell>
        </row>
        <row r="75">
          <cell r="A75" t="str">
            <v>LR</v>
          </cell>
          <cell r="B75" t="str">
            <v>移行反対仕訳</v>
          </cell>
        </row>
        <row r="76">
          <cell r="A76" t="str">
            <v>LZ</v>
          </cell>
          <cell r="B76" t="str">
            <v>商品勘定移行用</v>
          </cell>
        </row>
        <row r="77">
          <cell r="A77" t="str">
            <v>PR</v>
          </cell>
          <cell r="B77" t="str">
            <v>価格変更</v>
          </cell>
        </row>
        <row r="78">
          <cell r="A78" t="str">
            <v>Q1</v>
          </cell>
          <cell r="B78" t="str">
            <v xml:space="preserve">自動消込(個別) </v>
          </cell>
        </row>
        <row r="79">
          <cell r="A79" t="str">
            <v>Q2</v>
          </cell>
          <cell r="B79" t="str">
            <v xml:space="preserve">自動消込(一括) </v>
          </cell>
        </row>
        <row r="80">
          <cell r="A80" t="str">
            <v>Q3</v>
          </cell>
          <cell r="B80" t="str">
            <v>事後消込</v>
          </cell>
        </row>
        <row r="81">
          <cell r="A81" t="str">
            <v>Q4</v>
          </cell>
          <cell r="B81" t="str">
            <v>相殺</v>
          </cell>
        </row>
        <row r="82">
          <cell r="A82" t="str">
            <v>Q5</v>
          </cell>
          <cell r="B82" t="str">
            <v>期日自動決済</v>
          </cell>
        </row>
        <row r="83">
          <cell r="A83" t="str">
            <v>Q6</v>
          </cell>
          <cell r="B83" t="str">
            <v>未払原価自動差金整理</v>
          </cell>
        </row>
        <row r="84">
          <cell r="A84" t="str">
            <v>Q7</v>
          </cell>
          <cell r="B84" t="str">
            <v>口座別残高繰越</v>
          </cell>
        </row>
        <row r="85">
          <cell r="A85" t="str">
            <v>Q8</v>
          </cell>
          <cell r="B85" t="str">
            <v>未着商品／買掛金相殺</v>
          </cell>
        </row>
        <row r="86">
          <cell r="A86" t="str">
            <v>Q9</v>
          </cell>
          <cell r="B86" t="str">
            <v>未払原価自動決済</v>
          </cell>
        </row>
        <row r="87">
          <cell r="A87" t="str">
            <v>QA</v>
          </cell>
          <cell r="B87" t="str">
            <v>受取手形確定(支社支店用)　　</v>
          </cell>
        </row>
        <row r="88">
          <cell r="A88" t="str">
            <v>QB</v>
          </cell>
          <cell r="B88" t="str">
            <v>支払実績仕訳自動作成(支社支店用)</v>
          </cell>
        </row>
        <row r="89">
          <cell r="A89" t="str">
            <v>QC</v>
          </cell>
          <cell r="B89" t="str">
            <v>社内分与口銭自動仕訳</v>
          </cell>
        </row>
        <row r="90">
          <cell r="A90" t="str">
            <v>QD</v>
          </cell>
          <cell r="B90" t="str">
            <v>貸付金計上</v>
          </cell>
        </row>
        <row r="91">
          <cell r="A91" t="str">
            <v>QE</v>
          </cell>
          <cell r="B91" t="str">
            <v>小切手･現金入金確定</v>
          </cell>
        </row>
        <row r="92">
          <cell r="A92" t="str">
            <v>QF</v>
          </cell>
          <cell r="B92" t="str">
            <v>前払原価／買掛金相殺</v>
          </cell>
        </row>
        <row r="93">
          <cell r="A93" t="str">
            <v>RE</v>
          </cell>
          <cell r="B93" t="str">
            <v>請求書受領</v>
          </cell>
        </row>
        <row r="94">
          <cell r="A94" t="str">
            <v>RV</v>
          </cell>
          <cell r="B94" t="str">
            <v>請求書伝票振替</v>
          </cell>
        </row>
        <row r="95">
          <cell r="A95" t="str">
            <v>S1</v>
          </cell>
          <cell r="B95" t="str">
            <v>振替ルート／通常伝票／東京</v>
          </cell>
        </row>
        <row r="96">
          <cell r="A96" t="str">
            <v>S3</v>
          </cell>
          <cell r="B96" t="str">
            <v>振替ルート／通常伝票／大阪</v>
          </cell>
        </row>
        <row r="97">
          <cell r="A97" t="str">
            <v>S5</v>
          </cell>
          <cell r="B97" t="str">
            <v>振替ルート／通常伝票／支社支店</v>
          </cell>
        </row>
        <row r="98">
          <cell r="A98" t="str">
            <v>S7</v>
          </cell>
          <cell r="B98" t="str">
            <v>振替ルート／通常伝票／分社</v>
          </cell>
        </row>
        <row r="99">
          <cell r="A99" t="str">
            <v>WA</v>
          </cell>
          <cell r="B99" t="str">
            <v>出庫</v>
          </cell>
        </row>
        <row r="100">
          <cell r="A100" t="str">
            <v>WE</v>
          </cell>
          <cell r="B100" t="str">
            <v>入庫</v>
          </cell>
        </row>
        <row r="101">
          <cell r="A101" t="str">
            <v>WL</v>
          </cell>
          <cell r="B101" t="str">
            <v>出庫/出荷</v>
          </cell>
        </row>
        <row r="102">
          <cell r="A102" t="str">
            <v>J4</v>
          </cell>
          <cell r="B102" t="str">
            <v>貸付金金利</v>
          </cell>
        </row>
        <row r="104">
          <cell r="A104" t="str">
            <v>AA</v>
          </cell>
          <cell r="B104" t="str">
            <v>資産記帳</v>
          </cell>
        </row>
        <row r="105">
          <cell r="A105" t="str">
            <v>AB</v>
          </cell>
          <cell r="B105" t="str">
            <v>会計伝票</v>
          </cell>
        </row>
        <row r="106">
          <cell r="A106" t="str">
            <v>AF</v>
          </cell>
          <cell r="B106" t="str">
            <v>償却記帳</v>
          </cell>
        </row>
        <row r="107">
          <cell r="A107" t="str">
            <v>AN</v>
          </cell>
          <cell r="B107" t="str">
            <v>資産正味記帳</v>
          </cell>
        </row>
        <row r="108">
          <cell r="A108" t="str">
            <v>DA</v>
          </cell>
          <cell r="B108" t="str">
            <v>得意先伝票</v>
          </cell>
        </row>
        <row r="109">
          <cell r="A109" t="str">
            <v>DG</v>
          </cell>
          <cell r="B109" t="str">
            <v>得意先クレジットメモ</v>
          </cell>
        </row>
        <row r="110">
          <cell r="A110" t="str">
            <v>DR</v>
          </cell>
          <cell r="B110" t="str">
            <v>得意先請求書</v>
          </cell>
        </row>
        <row r="111">
          <cell r="A111" t="str">
            <v>DZ</v>
          </cell>
          <cell r="B111" t="str">
            <v>得意先入金</v>
          </cell>
        </row>
        <row r="112">
          <cell r="A112" t="str">
            <v>EX</v>
          </cell>
          <cell r="B112" t="str">
            <v>外部番号</v>
          </cell>
        </row>
        <row r="113">
          <cell r="A113" t="str">
            <v>KA</v>
          </cell>
          <cell r="B113" t="str">
            <v>仕入先伝票</v>
          </cell>
        </row>
        <row r="114">
          <cell r="A114" t="str">
            <v>KG</v>
          </cell>
          <cell r="B114" t="str">
            <v>仕入先クレジットメモ</v>
          </cell>
        </row>
        <row r="115">
          <cell r="A115" t="str">
            <v>KN</v>
          </cell>
          <cell r="B115" t="str">
            <v>仕入先正味請求書</v>
          </cell>
        </row>
        <row r="116">
          <cell r="A116" t="str">
            <v>KP</v>
          </cell>
          <cell r="B116" t="str">
            <v>勘定変更</v>
          </cell>
        </row>
        <row r="117">
          <cell r="A117" t="str">
            <v>KZ</v>
          </cell>
          <cell r="B117" t="str">
            <v>仕入先支払</v>
          </cell>
        </row>
        <row r="118">
          <cell r="A118" t="str">
            <v>ML</v>
          </cell>
          <cell r="B118" t="str">
            <v>品目元帳振替</v>
          </cell>
        </row>
        <row r="119">
          <cell r="A119" t="str">
            <v>RA</v>
          </cell>
          <cell r="B119" t="str">
            <v>付属cred.memo振替</v>
          </cell>
        </row>
        <row r="120">
          <cell r="A120" t="str">
            <v>RN</v>
          </cell>
          <cell r="B120" t="str">
            <v>請求書受領</v>
          </cell>
        </row>
        <row r="121">
          <cell r="A121" t="str">
            <v>SA</v>
          </cell>
          <cell r="B121" t="str">
            <v>一般会計伝票</v>
          </cell>
        </row>
        <row r="122">
          <cell r="A122" t="str">
            <v>SB</v>
          </cell>
          <cell r="B122" t="str">
            <v>一般転記</v>
          </cell>
        </row>
        <row r="123">
          <cell r="A123" t="str">
            <v>SK</v>
          </cell>
          <cell r="B123" t="str">
            <v>入金伝票</v>
          </cell>
        </row>
        <row r="124">
          <cell r="A124" t="str">
            <v>SU</v>
          </cell>
          <cell r="B124" t="str">
            <v>後続借方伝票</v>
          </cell>
        </row>
        <row r="125">
          <cell r="A125" t="str">
            <v>WI</v>
          </cell>
          <cell r="B125" t="str">
            <v>在庫伝票</v>
          </cell>
        </row>
        <row r="126">
          <cell r="A126" t="str">
            <v>WN</v>
          </cell>
          <cell r="B126" t="str">
            <v>正味入庫</v>
          </cell>
        </row>
        <row r="127">
          <cell r="A127" t="str">
            <v>ZP</v>
          </cell>
          <cell r="B127" t="str">
            <v>支払記帳</v>
          </cell>
        </row>
        <row r="128">
          <cell r="A128" t="str">
            <v>ZV</v>
          </cell>
          <cell r="B128" t="str">
            <v>支払決済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部設計確認書"/>
      <sheetName val="処理概要"/>
      <sheetName val="処理機能記述"/>
      <sheetName val="別紙(IPO)"/>
      <sheetName val="別紙①"/>
      <sheetName val="別紙&lt;1&gt;"/>
      <sheetName val="画面遷移図"/>
      <sheetName val="画面レイアウト"/>
      <sheetName val="画面機能定義"/>
      <sheetName val="画面項目定義"/>
      <sheetName val="帳票レイアウト"/>
      <sheetName val="帳票項目定義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y plan request date MAT"/>
      <sheetName val="Incoming plan and PO balance of"/>
    </sheetNames>
    <definedNames>
      <definedName name="M_データ入力" refersTo="#REF!"/>
      <definedName name="M_メインメニュｰ表示" refersTo="#REF!"/>
      <definedName name="M_奥行価格補正率" refersTo="#REF!"/>
      <definedName name="qq" refersTo="#REF!"/>
      <definedName name="ｓｓ" refersTo="#REF!"/>
      <definedName name="ロジックチャート" refersTo="#REF!"/>
      <definedName name="側方影響加算率設定1" refersTo="#REF!"/>
      <definedName name="側方影響加算率設定2" refersTo="#REF!"/>
      <definedName name="決算年月変更" refersTo="#REF!"/>
    </defined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ON Master"/>
      <sheetName val="IP一覧"/>
      <sheetName val="ルーティング設定_全体"/>
      <sheetName val="本番機"/>
      <sheetName val="QA機"/>
      <sheetName val="バックアップ運用"/>
      <sheetName val="外部連携サンプル"/>
      <sheetName val="夜間JOB"/>
      <sheetName val="Original"/>
      <sheetName val="表紙"/>
      <sheetName val="来歴"/>
      <sheetName val="目次"/>
      <sheetName val="1_システム概要"/>
      <sheetName val="1-1(2)"/>
      <sheetName val="1_システム概要2"/>
      <sheetName val="1_システム概要5"/>
      <sheetName val="1_システム概要6"/>
      <sheetName val="1_システム概要7"/>
      <sheetName val="2_システム運用１"/>
      <sheetName val="2_システム運用2"/>
      <sheetName val="3_通常時運用1"/>
      <sheetName val="3_通常時運用2"/>
      <sheetName val="3_通常時運用3"/>
      <sheetName val="3_通常時運用ＪＰ１"/>
      <sheetName val="3_通常時運用4"/>
      <sheetName val="3_通常時運用5"/>
      <sheetName val="3_通常時運用6"/>
      <sheetName val="3_通常時運用7"/>
      <sheetName val="3_通常時運用8"/>
      <sheetName val="4_異常時運用"/>
      <sheetName val="4_異常時運用2"/>
      <sheetName val="4_異常時運用3"/>
      <sheetName val="5.監視"/>
      <sheetName val="5_監視2"/>
      <sheetName val="5.監視3"/>
      <sheetName val="5.監視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"/>
      <sheetName val="単価"/>
      <sheetName val="集計"/>
      <sheetName val="期別合計"/>
      <sheetName val="期別製外"/>
      <sheetName val="期別工数"/>
      <sheetName val="ACD活"/>
      <sheetName val="佐世保合計"/>
      <sheetName val="佐世保00上"/>
      <sheetName val="佐世保00下"/>
      <sheetName val="佐世保サブ合計"/>
      <sheetName val="佐世保サブ00上"/>
      <sheetName val="佐世保サブ00下"/>
      <sheetName val="康心会合計"/>
      <sheetName val="康心会00下"/>
      <sheetName val="康心会01下"/>
      <sheetName val="飯田合計"/>
      <sheetName val="飯田00上"/>
      <sheetName val="飯田01上"/>
      <sheetName val="飯田01下-1"/>
      <sheetName val="飯田01下-2"/>
      <sheetName val="飯田02下"/>
      <sheetName val="徳島拡張01下"/>
      <sheetName val="沖縄拡張01下"/>
      <sheetName val="萩機能追加01下"/>
      <sheetName val="長浜日赤合計"/>
      <sheetName val="長浜日赤00下"/>
      <sheetName val="長浜日赤01上"/>
      <sheetName val="長浜日赤01下"/>
      <sheetName val="山田日赤01下"/>
      <sheetName val="高山日赤01下"/>
      <sheetName val="佐世保中央01下"/>
      <sheetName val="沖縄保守01下"/>
      <sheetName val="萩保守01下"/>
      <sheetName val="佐世保保守01下"/>
      <sheetName val="徳島保守01下"/>
      <sheetName val="山田日赤医事営外01下"/>
      <sheetName val="山田日赤LAN営外01下"/>
      <sheetName val="高山日赤医事営外01下"/>
      <sheetName val="高山日赤LAN営外01下"/>
      <sheetName val="福岡逓信02下"/>
      <sheetName val="衣笠02下"/>
      <sheetName val="案件未定02下"/>
      <sheetName val="案件未定03下1"/>
      <sheetName val="案件未定03下2"/>
      <sheetName val="案件未定03下3"/>
      <sheetName val="案件未定03下4"/>
      <sheetName val="案件未定03下5"/>
      <sheetName val="案件未定03下6"/>
      <sheetName val="初期"/>
      <sheetName val="DIAKARTE 01年度開発"/>
    </sheetNames>
    <sheetDataSet>
      <sheetData sheetId="0" refreshError="1"/>
      <sheetData sheetId="1" refreshError="1">
        <row r="13">
          <cell r="K13">
            <v>5.6815069119639384E-2</v>
          </cell>
        </row>
        <row r="16">
          <cell r="K16">
            <v>5.354170407911249E-2</v>
          </cell>
        </row>
        <row r="19">
          <cell r="K19">
            <v>5.3414030918562498E-2</v>
          </cell>
        </row>
        <row r="22">
          <cell r="K22">
            <v>5.3014702588134864E-2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d2"/>
      <sheetName val="単価"/>
      <sheetName val="Data"/>
      <sheetName val="POPCON Master"/>
      <sheetName val="パラメータ"/>
      <sheetName val="勤務体系"/>
      <sheetName val="43出力3"/>
      <sheetName val="POPCON_Master1"/>
      <sheetName val="POPCON_Master"/>
    </sheetNames>
    <definedNames>
      <definedName name="Select_ACat1"/>
      <definedName name="Select_ACat2"/>
      <definedName name="Select_ACat3"/>
      <definedName name="Select_FCat1"/>
      <definedName name="Select_FCat2"/>
      <definedName name="Select_FCat3"/>
      <definedName name="Select_OCat1"/>
      <definedName name="Select_OCat2"/>
      <definedName name="Select_OCat3"/>
      <definedName name="Select_RefAct1"/>
      <definedName name="Select_RefAct2"/>
      <definedName name="Select_RefAct3"/>
      <definedName name="Select_RefObj1"/>
      <definedName name="Select_RefObj2"/>
      <definedName name="Update_Act"/>
      <definedName name="Update_Flow"/>
      <definedName name="Update_Layer"/>
      <definedName name="Update_Obj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en3"/>
      <sheetName val="単価"/>
      <sheetName val="Data"/>
      <sheetName val="POPCON Master"/>
      <sheetName val="4th"/>
    </sheetNames>
    <definedNames>
      <definedName name="Select_Cat1"/>
      <definedName name="Select_Cat2"/>
      <definedName name="Select_Cat3"/>
      <definedName name="Select_RefAct"/>
      <definedName name="Select_RefOitm"/>
      <definedName name="Select_RefTbl"/>
      <definedName name="SelFileGExp"/>
      <definedName name="Update_Game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5"/>
      <sheetName val="単価"/>
      <sheetName val="POPCON Master"/>
    </sheetNames>
    <definedNames>
      <definedName name="Select_CCat1"/>
      <definedName name="Select_CCat2"/>
      <definedName name="Select_CCat3"/>
      <definedName name="Select_RefEve"/>
      <definedName name="Select_RefGamen"/>
      <definedName name="Select_RefObj"/>
      <definedName name="Select_RefOpe1"/>
      <definedName name="Select_RefOpe2"/>
      <definedName name="Select_RefOpe3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ABLE"/>
      <sheetName val="TABLE.XLT"/>
      <sheetName val="単価"/>
      <sheetName val="TABLE_XLT"/>
    </sheetNames>
    <definedNames>
      <definedName name="Select_RefTblI"/>
      <definedName name="SelFileTblExp"/>
      <definedName name="Update_Table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単価"/>
    </sheetNames>
    <definedNames>
      <definedName name="Select_TBL"/>
    </defined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残件0107"/>
      <sheetName val="顧客リスト"/>
      <sheetName val="ＦＢ外為データ項目一覧"/>
      <sheetName val="単価"/>
      <sheetName val="Output"/>
      <sheetName val="total  actual  input"/>
      <sheetName val="total  actual  output"/>
      <sheetName val="total  plan  input"/>
      <sheetName val="total  plan  output"/>
      <sheetName val="Sheet"/>
      <sheetName val="total__actual__input"/>
      <sheetName val="total__actual__output"/>
      <sheetName val="total__plan__input"/>
      <sheetName val="total__plan__output"/>
    </sheetNames>
    <definedNames>
      <definedName name="shuukei"/>
      <definedName name="shuukei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ﾘｽﾄ"/>
      <sheetName val="課　題　一　覧"/>
      <sheetName val="設計課題一覧（（ＤＴＣ様確認）V1(J)"/>
      <sheetName val="ST Sorting Reject "/>
      <sheetName val="１．InfoCube (YKCH0010) 案２"/>
      <sheetName val="１．InfoCube (YKCH0010)案１"/>
      <sheetName val="ST_Sorting_Reject_"/>
    </sheetNames>
    <sheetDataSet>
      <sheetData sheetId="0" refreshError="1">
        <row r="1">
          <cell r="A1" t="str">
            <v>未着手</v>
          </cell>
        </row>
        <row r="2">
          <cell r="A2" t="str">
            <v>検討中</v>
          </cell>
        </row>
        <row r="3">
          <cell r="A3" t="str">
            <v>完了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上チェック機能"/>
      <sheetName val="ﾘｽﾄ"/>
      <sheetName val="発注残"/>
      <sheetName val="受注高2010"/>
      <sheetName val="仕上チェック機能書"/>
      <sheetName val="単価"/>
      <sheetName val="年間操業度算定ファイル"/>
      <sheetName val="Elements"/>
      <sheetName val="Hot flow bench RT"/>
      <sheetName val="#REF"/>
      <sheetName val="処理機能記述"/>
      <sheetName val="経営対比(金型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標準HW"/>
      <sheetName val="購入品"/>
      <sheetName val="#REF"/>
      <sheetName val="仕上チェック機能"/>
      <sheetName val="見積依頼"/>
      <sheetName val="#REF!"/>
      <sheetName val="ﾘｽﾄ"/>
      <sheetName val="D2PAKﾊﾟ-ﾂ"/>
      <sheetName val="パラメータ"/>
      <sheetName val="仕切り率"/>
      <sheetName val="型TB"/>
      <sheetName val="資料②-2"/>
      <sheetName val="単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補足説明仕様"/>
      <sheetName val="編集仕様"/>
      <sheetName val="処理詳細"/>
      <sheetName val="補足仕様"/>
      <sheetName val="バッチインプット仕様"/>
      <sheetName val="汎用ﾓｼﾞｭｰﾙ説明"/>
      <sheetName val="#REF"/>
      <sheetName val="02 サンプル(ﾌﾟ仕様書)汎用モジュール"/>
      <sheetName val="仕切り率"/>
      <sheetName val="単価"/>
      <sheetName val="D2PAKﾊﾟ-ﾂ"/>
      <sheetName val="2月"/>
      <sheetName val="POPCON Master"/>
      <sheetName val="仕上チェック機能"/>
      <sheetName val="年間操業度算定ファイル"/>
      <sheetName val="印刷6"/>
      <sheetName val="ﾘｽﾄ"/>
    </sheetNames>
    <sheetDataSet>
      <sheetData sheetId="0" refreshError="1">
        <row r="2">
          <cell r="D2" t="str">
            <v>SYSTEM21</v>
          </cell>
        </row>
        <row r="3">
          <cell r="D3" t="str">
            <v>汎用モジュール</v>
          </cell>
        </row>
        <row r="4">
          <cell r="D4" t="str">
            <v>Z_S_BUKKEN_KUNWE_CHANGE</v>
          </cell>
          <cell r="F4" t="str">
            <v>2001/06/05</v>
          </cell>
        </row>
        <row r="5">
          <cell r="D5" t="str">
            <v>物件販売：出荷先住所変更(B/I)</v>
          </cell>
          <cell r="F5" t="str">
            <v>MDIS 木村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選択メニュー"/>
      <sheetName val="部内Ｆ工事一覧（画面）"/>
      <sheetName val="ﾌｫｰﾏｯﾄ詳細"/>
      <sheetName val="パラメータ"/>
      <sheetName val="工事担当部門"/>
      <sheetName val="プロジェクト区分"/>
      <sheetName val="フォロー表作成"/>
      <sheetName val="関数"/>
      <sheetName val="課選択"/>
      <sheetName val="差異比較"/>
      <sheetName val="不要テキストボックス削除"/>
      <sheetName val="不要テキストボックス検査"/>
      <sheetName val="不要ページ削除"/>
      <sheetName val="モジュールメニュー"/>
      <sheetName val="勤務体系"/>
      <sheetName val="単価"/>
      <sheetName val="レポートレイアウト"/>
      <sheetName val="表紙"/>
      <sheetName val="Seisan2000-PID対応"/>
      <sheetName val="#REF"/>
      <sheetName val="POPCON 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集計"/>
      <sheetName val="仕切り率"/>
      <sheetName val="パラメータ"/>
      <sheetName val="ﾚﾝﾀﾞ化工"/>
      <sheetName val="表紙"/>
      <sheetName val="レポートレイアウト"/>
      <sheetName val="勤務体系"/>
      <sheetName val="製品カテゴリー"/>
    </sheetNames>
    <definedNames>
      <definedName name="全体集計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WAYAMA"/>
      <sheetName val="POPCON Master"/>
      <sheetName val="パラメータ"/>
      <sheetName val="レポートレイアウト"/>
      <sheetName val="表紙"/>
      <sheetName val="Main2006 "/>
      <sheetName val="社員リスト"/>
      <sheetName val="TCT970611全箇所"/>
      <sheetName val="処理機能記述"/>
      <sheetName val="経営対比表98自動機"/>
    </sheetNames>
    <definedNames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ポートレイアウト"/>
      <sheetName val="５月作業計画"/>
      <sheetName val="ﾍｯﾀﾞ"/>
      <sheetName val="001"/>
      <sheetName val="002"/>
      <sheetName val="表紙"/>
      <sheetName val="TABLE"/>
      <sheetName val="確認書"/>
      <sheetName val="機能 (3)"/>
      <sheetName val="機能"/>
      <sheetName val="機能 (2)"/>
      <sheetName val="遷移図"/>
      <sheetName val="IPO"/>
      <sheetName val="画面レ"/>
      <sheetName val="画面項目"/>
      <sheetName val="帳票ﾚA4"/>
      <sheetName val="帳票項目"/>
      <sheetName val="ﾃﾞｰﾀ構造図(ﾄﾘｶﾞｰ)"/>
      <sheetName val="ﾃﾞｰﾀ項目(ﾄﾘｶﾞｰ)"/>
      <sheetName val="ﾃﾞｰﾀ構造図(搬入場所)"/>
      <sheetName val="ﾃﾞｰﾀ項目(搬入場所)"/>
      <sheetName val="別紙①"/>
      <sheetName val="別紙②"/>
      <sheetName val="概要処理ﾌﾛｰ (ZJPMM078)"/>
      <sheetName val="概要処理ﾌﾛｰ (ZJPMM079)"/>
      <sheetName val="R3関連補足(ZJPMM079)"/>
      <sheetName val="概要処理ﾌﾛｰ(ZJPMM080)"/>
      <sheetName val="R3関連補足(ZJPMM080)"/>
      <sheetName val="概要処理ﾌﾛｰ (ZJPMM081) "/>
      <sheetName val="概要処理ﾌﾛｰ (ZJPMM083)"/>
      <sheetName val="概要処理ﾌﾛｰ(ZJPMM084)"/>
      <sheetName val="R3関連補足(ZJPMM084)"/>
      <sheetName val="概要処理ﾌﾛｰ(ZJPMM085)"/>
      <sheetName val="R3関連補足(ZJPMM085)"/>
      <sheetName val="概要処理ﾌﾛｰZJPMM086)"/>
      <sheetName val="概要処理ﾌﾛｰ（ZJPMM137）"/>
      <sheetName val="概要処理ﾌﾛｰ（ZJPMM137） (2)"/>
      <sheetName val="概要処理ﾌﾛｰ（ZJPMM138）"/>
      <sheetName val="概要処理ﾌﾛｰ (ZJPOMM033)"/>
      <sheetName val="R3関連画面（ZJPOMM033）"/>
      <sheetName val="概要処理ﾌﾛｰ (ZJPOMM034)"/>
      <sheetName val="R3関連画面（ZJPOMM034） "/>
      <sheetName val="概要処理ﾌﾛｰ (ZJPOMM035)"/>
      <sheetName val="概要処理ﾌﾛｰ  (ZJPOMM036)"/>
      <sheetName val="概要処理ﾌﾛｰ (ZJPOMM037)"/>
      <sheetName val="概要処理ﾌﾛｰ（ZJPOMM038）"/>
      <sheetName val="R3関連画面（ZJPOMM038）"/>
      <sheetName val="概要処理ﾌﾛｰ（ZJPOMM039）"/>
      <sheetName val="R3関連画面（ZJPOMM039)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画面遷移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UT"/>
      <sheetName val="UTﾊﾟﾀｰﾝ"/>
      <sheetName val="入力ﾁｪｯｸ"/>
      <sheetName val="画面機能"/>
      <sheetName val="文書履歴"/>
      <sheetName val="画面フロー"/>
      <sheetName val="入出力定義"/>
      <sheetName val="エラー処理定義"/>
      <sheetName val="メッセージ一覧"/>
      <sheetName val="権限制御定義"/>
      <sheetName val="画面定義"/>
      <sheetName val="画面レイアウト"/>
      <sheetName val="補足事項"/>
      <sheetName val="補足事項区分"/>
      <sheetName val="kna1"/>
      <sheetName val="knb1"/>
      <sheetName val="テストデータ記述2"/>
      <sheetName val="Sheet1"/>
      <sheetName val="Sheet2"/>
      <sheetName val="Sheet3"/>
      <sheetName val="販売"/>
      <sheetName val="物流"/>
      <sheetName val="購買"/>
      <sheetName val="生産1"/>
      <sheetName val="生産2"/>
      <sheetName val="テスト仕様書"/>
      <sheetName val="棚卸資産記入帳実績明細テーブル"/>
      <sheetName val="預け預り品記入帳実績明細テーブル"/>
      <sheetName val="【最新】テストコンディションシート"/>
      <sheetName val="参考1"/>
      <sheetName val="テスト対象機能一覧（参照用）"/>
      <sheetName val="テスト対象プロセス一覧（参照用）"/>
      <sheetName val="【旧】テストコンディションシート"/>
      <sheetName val="F00_機能表紙"/>
      <sheetName val="F02_基本仕様"/>
      <sheetName val="F03_アドオン機能詳細"/>
      <sheetName val="F06_画面・帳票遷移"/>
      <sheetName val="F07_帳票レイアウト(000)"/>
      <sheetName val="F07_帳票レイアウト(001-1)"/>
      <sheetName val="F08_帳票項目定義(001-1)"/>
      <sheetName val="F13_補足説明"/>
      <sheetName val="F16_汎用モジュール定義"/>
      <sheetName val="TìÆvæ"/>
      <sheetName val="|[gCAEg"/>
      <sheetName val="表紙  "/>
      <sheetName val="承認票"/>
      <sheetName val="単体ﾃｽﾄ定義書"/>
      <sheetName val="ヘッダー"/>
      <sheetName val="統合決定表"/>
      <sheetName val="‚TŒŽì‹ÆŒv‰æ"/>
      <sheetName val="ƒŒƒ|[ƒgƒŒƒCƒAƒEƒg"/>
      <sheetName val="捺印用表紙"/>
      <sheetName val="改訂履歴"/>
      <sheetName val="作成物管理表"/>
      <sheetName val="機能概要"/>
      <sheetName val="機能補足"/>
      <sheetName val="画面項目定義"/>
      <sheetName val="帳票レイアウト(132)"/>
      <sheetName val="SVF・RM帳票出力定義"/>
      <sheetName val="帳票レイアウト"/>
      <sheetName val="帳票項目定義"/>
      <sheetName val="処理記述"/>
      <sheetName val="補足説明"/>
      <sheetName val="翻訳"/>
      <sheetName val="ヘッダ"/>
      <sheetName val="job一覧"/>
      <sheetName val="原紙"/>
      <sheetName val="SHOT(001)"/>
      <sheetName val="SHOT(002)"/>
      <sheetName val="SHOT(003)"/>
      <sheetName val="SHOT(004)"/>
      <sheetName val="SHOT(005)"/>
      <sheetName val="SHOT(006)"/>
      <sheetName val="SHOT(007)"/>
      <sheetName val="SHOT(008)"/>
      <sheetName val="SHOT(009)"/>
      <sheetName val="SHOT(010)"/>
      <sheetName val="SHOT(011)"/>
      <sheetName val="SHOT(012)"/>
      <sheetName val="SHOT(013)"/>
      <sheetName val="SHOT(014)"/>
      <sheetName val="SHOT(015)"/>
      <sheetName val="SHOT(016)"/>
      <sheetName val="SHOT(017)"/>
      <sheetName val="SHOT(018)"/>
      <sheetName val="SHOT(019)"/>
      <sheetName val="SHOT(020)"/>
      <sheetName val="SHOT(021)"/>
      <sheetName val="SHOT(022)"/>
      <sheetName val="SHOT(023)"/>
      <sheetName val="SHOT(024)"/>
      <sheetName val="SHOT(025)"/>
      <sheetName val="SHOT(026)"/>
      <sheetName val="SHOT(027)"/>
      <sheetName val="SHOT(028)"/>
      <sheetName val="SHOT(029)"/>
      <sheetName val="SHOT(030)"/>
      <sheetName val="SHOT(031)"/>
      <sheetName val="SHOT(032)"/>
      <sheetName val="SHOT(033)"/>
      <sheetName val="SHOT(034)"/>
      <sheetName val="SHOT(035)"/>
      <sheetName val="ヘッダ (2)"/>
      <sheetName val="SHOT(036)"/>
      <sheetName val="SHOT(037)"/>
      <sheetName val="SHOT(038)"/>
      <sheetName val="SHOT(039)"/>
      <sheetName val="SHOT(040)"/>
      <sheetName val="SHOT(041)"/>
      <sheetName val="SHOT(042)"/>
      <sheetName val="SHOT(043)"/>
      <sheetName val="SHOT(044)"/>
      <sheetName val="SHOT(45)"/>
      <sheetName val="SHOT(046)"/>
      <sheetName val="SHOT(047)"/>
      <sheetName val="SHOT(048)"/>
      <sheetName val="SHOT(049)"/>
      <sheetName val="SHOT(050-1)"/>
      <sheetName val="SHOT(050-2)"/>
      <sheetName val="SHOT(050-3)"/>
      <sheetName val="SHOT(051)"/>
      <sheetName val="SHOT(052)"/>
      <sheetName val="ヘッダ (3)"/>
      <sheetName val="SHOT(053)"/>
      <sheetName val="SHOT(054)"/>
      <sheetName val="SHOT(055)"/>
      <sheetName val="SHOT(056)"/>
      <sheetName val="SHOT(057)"/>
      <sheetName val="SHOT(058)"/>
      <sheetName val="ヘッダ (4)"/>
      <sheetName val="必要トランザクション一覧"/>
      <sheetName val="cdhdr.einkbeleg.2005.12.12.aa"/>
      <sheetName val="CDPOS.1"/>
      <sheetName val="Sheet4"/>
      <sheetName val="ekpo"/>
      <sheetName val="3_ステージング機能定義書（処理概要）"/>
      <sheetName val="4_ステージング機能定義書（処理フロー）"/>
      <sheetName val="6_ステージング機能定義書（項目対比表）"/>
      <sheetName val="エビデンス(単一価格データ)"/>
      <sheetName val="内部機能定義"/>
      <sheetName val="IPOﾀﾞｲｱｸﾞﾗﾑ"/>
      <sheetName val="（ﾍｯﾀﾞ）"/>
      <sheetName val="(20021209退避)内部機能定義"/>
      <sheetName val="(20021209退避)IPOﾀﾞｲｱｸﾞﾗﾑ"/>
      <sheetName val="画面定義 (2)"/>
      <sheetName val="画面レイアウト (2)"/>
      <sheetName val="改版履歴"/>
      <sheetName val="データ項目一覧"/>
      <sheetName val="ネーミング"/>
      <sheetName val="コントロール"/>
      <sheetName val="リストデータ設定シート"/>
      <sheetName val="設計書表紙"/>
      <sheetName val="ドキュメント一覧"/>
      <sheetName val="基本仕様"/>
      <sheetName val="機能詳細"/>
      <sheetName val="ファイル編集要領"/>
      <sheetName val="内部構造編集要領"/>
      <sheetName val="帳票項目定義（ヘッダ部）"/>
      <sheetName val="総括表 "/>
      <sheetName val="表紙 "/>
      <sheetName val="更新履歴"/>
      <sheetName val="共通定義"/>
      <sheetName val="ﾕｰｻﾞEXIT(1)"/>
      <sheetName val="(ﾍｯﾀﾞ)"/>
      <sheetName val="(概要)"/>
      <sheetName val="(ﾕｰｻﾞ文書)"/>
      <sheetName val="(ｷｰﾜｰﾄﾞ)"/>
      <sheetName val="(その他)"/>
      <sheetName val="~0056583"/>
      <sheetName val="|_gCAEg"/>
      <sheetName val="ƒŒƒ|_ƒgƒŒƒCƒAƒEƒg"/>
      <sheetName val="?????????"/>
      <sheetName val="経営対比表98自動機"/>
      <sheetName val="仕上チェック機能"/>
      <sheetName val="_________"/>
      <sheetName val="TCT970611全箇所"/>
      <sheetName val="レポートレイアウ⃈"/>
      <sheetName val="現行"/>
      <sheetName val="改善案"/>
      <sheetName val="画面"/>
      <sheetName val="TSBFTPF"/>
      <sheetName val="開始送信"/>
      <sheetName val="終了送信"/>
      <sheetName val="停止送信"/>
      <sheetName val="終了取得"/>
      <sheetName val="処理概要"/>
      <sheetName val="処理詳細"/>
      <sheetName val="項目移送"/>
      <sheetName val="ﾘｽﾄ"/>
      <sheetName val="社員リスト"/>
      <sheetName val="HULFT申請書サンプル①"/>
      <sheetName val="計数"/>
      <sheetName val="１．InfoCube (YKCH0010) 案２"/>
      <sheetName val="１．InfoCube (YKCH0010)案１"/>
      <sheetName val="List"/>
      <sheetName val="貨物保険料対象条件マスタ"/>
      <sheetName val=""/>
      <sheetName val="マスタ"/>
      <sheetName val="調査シート"/>
      <sheetName val="リスト値"/>
      <sheetName val="処理機能記述"/>
      <sheetName val="テーブル"/>
      <sheetName val="ﾏｽﾀｰ(Z82)"/>
      <sheetName val="勤務体系"/>
      <sheetName val="T"/>
      <sheetName val="型TB"/>
      <sheetName val="リスト"/>
      <sheetName val="リストBOX定義"/>
      <sheetName val="【参考】パラメータ設定値"/>
      <sheetName val="見積テーブル"/>
      <sheetName val="default"/>
      <sheetName val="データ辞書"/>
      <sheetName val="入力ＴＢＬ"/>
      <sheetName val="機能_(3)"/>
      <sheetName val="機能_(2)"/>
      <sheetName val="概要処理ﾌﾛｰ_(ZJPMM078)"/>
      <sheetName val="概要処理ﾌﾛｰ_(ZJPMM079)"/>
      <sheetName val="概要処理ﾌﾛｰ_(ZJPMM081)_"/>
      <sheetName val="概要処理ﾌﾛｰ_(ZJPMM083)"/>
      <sheetName val="概要処理ﾌﾛｰ（ZJPMM137）_(2)"/>
      <sheetName val="概要処理ﾌﾛｰ_(ZJPOMM033)"/>
      <sheetName val="概要処理ﾌﾛｰ_(ZJPOMM034)"/>
      <sheetName val="R3関連画面（ZJPOMM034）_"/>
      <sheetName val="概要処理ﾌﾛｰ_(ZJPOMM035)"/>
      <sheetName val="概要処理ﾌﾛｰ__(ZJPOMM036)"/>
      <sheetName val="概要処理ﾌﾛｰ_(ZJPOMM037)"/>
      <sheetName val="R3関連画面_(1)"/>
      <sheetName val="R3関連画面_(2)"/>
      <sheetName val="R3関連画面_(3)"/>
      <sheetName val="R3関連画面_(4)"/>
      <sheetName val="R3関連画面_(5)"/>
      <sheetName val="R3関連画面_(6)"/>
      <sheetName val="表紙_(2)"/>
      <sheetName val="IPO_(最新版)"/>
      <sheetName val="UT_(指定条件検索)"/>
      <sheetName val="UT_(発注人略称)"/>
      <sheetName val="UT_(ｱｲﾃﾑNo)"/>
      <sheetName val="UT_(ｱｲﾃﾑｵｰﾀﾞ)"/>
      <sheetName val="UT_(相手先ｵｰﾀﾞ)"/>
      <sheetName val="UT_(納入船積表示)"/>
      <sheetName val="ﾌﾛｰ_"/>
      <sheetName val="入力ﾁｪｯｸ_(指定条件検索)"/>
      <sheetName val="入力ﾁｪｯｸ_(品番明細)"/>
      <sheetName val="編集_(PO表示)"/>
      <sheetName val="編集_(発注人略称明細)"/>
      <sheetName val="編集_(ｱｲﾃﾑNo明細)"/>
      <sheetName val="編集_(ｱｲﾃﾑｵｰﾀﾞ明細)"/>
      <sheetName val="編集_(相手先ｵｰﾀﾞ明細)"/>
      <sheetName val="編集_(納入船積表示)"/>
      <sheetName val="編集_(発注人略称CSV)"/>
      <sheetName val="編集_(ｱｲﾃﾑNo_CSV)"/>
      <sheetName val="編集_(ｱｲﾃﾑｵｰﾀﾞCSV)"/>
      <sheetName val="編集_(相手先ｵｰﾀﾞCSV)"/>
      <sheetName val="編集_(納入船積表示CSV)"/>
      <sheetName val="編集_(ｴﾗｰ情報)"/>
      <sheetName val="画面項目_(一覧出力)"/>
      <sheetName val="編集_(取引NO一覧)"/>
      <sheetName val="編集_(一覧出力)"/>
      <sheetName val="編集_(一覧出力CSV)"/>
      <sheetName val="表紙__"/>
      <sheetName val="ヘッダ_(2)"/>
      <sheetName val="ヘッダ_(3)"/>
      <sheetName val="ヘッダ_(4)"/>
      <sheetName val="cdhdr_einkbeleg_2005_12_12_aa"/>
      <sheetName val="CDPOS_1"/>
      <sheetName val="画面定義_(2)"/>
      <sheetName val="画面レイアウト_(2)"/>
      <sheetName val="総括表_"/>
      <sheetName val="表紙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務体系"/>
      <sheetName val="支給控除項目"/>
      <sheetName val="職種と給与・勤怠管理の関係"/>
      <sheetName val="休業・休職"/>
      <sheetName val="職種と身分・資格関係"/>
      <sheetName val="人事イベント"/>
      <sheetName val="帳票一覧"/>
      <sheetName val="項目対比表"/>
      <sheetName val="分析ｼｰﾄ"/>
      <sheetName val="型TB"/>
      <sheetName val="#REF"/>
      <sheetName val="レポートレイアウト"/>
      <sheetName val="表紙"/>
      <sheetName val="単価"/>
      <sheetName val="仕切り率"/>
      <sheetName val="基板入庫（C-TPS）"/>
      <sheetName val="ﾘｽ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ｱｯﾌﾟﾃﾞｰﾄ一覧"/>
      <sheetName val="媒体リスト"/>
      <sheetName val="媒体リスト (限定出荷)"/>
      <sheetName val="媒体リスト (特別製造)"/>
      <sheetName val="ライセンス"/>
      <sheetName val="保守 (試験版)"/>
      <sheetName val="マニュアル"/>
      <sheetName val="出荷停止製品"/>
      <sheetName val="仕切り率"/>
      <sheetName val="型TB"/>
      <sheetName val="仕上チェック機能"/>
      <sheetName val="ﾘｽﾄ"/>
      <sheetName val="勤務体系"/>
      <sheetName val="Oracle0204"/>
      <sheetName val="レポートレイアウト"/>
      <sheetName val="パラメータ"/>
      <sheetName val="治具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L1">
            <v>1</v>
          </cell>
        </row>
        <row r="2">
          <cell r="L2">
            <v>1.05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2003.12.18"/>
      <sheetName val="概要設計スケジュール"/>
      <sheetName val="M544_進捗管理ｸﾞﾗﾌ"/>
      <sheetName val="開発進捗状況報告表"/>
      <sheetName val="概要設計スケジュール(ｲﾝﾀﾌｪｰｽ)"/>
      <sheetName val="M544_進捗管理ｸﾞﾗﾌ(ｲﾝﾀﾌｪｰｽ)"/>
      <sheetName val="開発進捗状況報告表(ｲﾝﾀﾌｪｰｽ)"/>
      <sheetName val="M540_進捗管理ｸﾞﾗﾌ＜機能概要設計＞"/>
      <sheetName val="M541_進捗管理ｸﾞﾗﾌ＜入出力概要設計＞"/>
      <sheetName val="M542_進捗管理ｸﾞﾗﾌ＜処理記述設計＞"/>
      <sheetName val="M543_進捗管理ｸﾞﾗﾌ＜承認・受入説明＞"/>
      <sheetName val="M545_進捗ステータス"/>
      <sheetName val="M54A_進捗状況表"/>
      <sheetName val="M540_進捗管理ｸﾞﾗﾌ(ｲﾝﾀﾌｪｰｽ)＜機能概要設計＞"/>
      <sheetName val="M541_進捗管理ｸﾞﾗﾌ(ｲﾝﾀﾌｪｰｽ)＜入出力概要設計＞"/>
      <sheetName val="M542_進捗管理ｸﾞﾗﾌ(ｲﾝﾀﾌｪｰｽ)＜処理記述設計＞"/>
      <sheetName val="M543_進捗管理ｸﾞﾗﾌ(ｲﾝﾀﾌｪｰｽ)＜承認・受入説明＞"/>
      <sheetName val="M545_進捗ステータス(ｲﾝﾀﾌｪｰｽ)"/>
      <sheetName val="M54A_進捗状況表(ｲﾝﾀﾌｪｰｽ)"/>
      <sheetName val="ルネサス表紙"/>
      <sheetName val="文章履歴"/>
      <sheetName val="更新履歴シート"/>
      <sheetName val="F005_要件"/>
      <sheetName val="F010_DFD"/>
      <sheetName val="F012_プロセス機能"/>
      <sheetName val="プログラム"/>
      <sheetName val="汎用モジュール"/>
      <sheetName val="インクルード"/>
      <sheetName val="透過テーブル"/>
      <sheetName val="構造"/>
      <sheetName val="トランザクション"/>
      <sheetName val="メッセージ"/>
      <sheetName val="ビジネスオブジェクト"/>
      <sheetName val="検索ヘルプ"/>
      <sheetName val="データエレメント"/>
      <sheetName val="テーブル索引"/>
      <sheetName val="記述要領"/>
      <sheetName val="表紙"/>
      <sheetName val="承認票"/>
      <sheetName val="プログラム概要記述"/>
      <sheetName val="画面遷移"/>
      <sheetName val="プログラム処理記述"/>
      <sheetName val="画面レイアウト【選択画面】"/>
      <sheetName val="画面項目定義【選択画面】"/>
      <sheetName val="帳票レイアウト"/>
      <sheetName val="帳票項目定義"/>
      <sheetName val="メッセージ定義"/>
      <sheetName val="売上・売上原価(PS)"/>
      <sheetName val="売上・売上原価(PS販売)"/>
      <sheetName val="ロイヤルティ関連項目設定"/>
      <sheetName val="開発のねらい"/>
      <sheetName val="運用フロー"/>
      <sheetName val="機能一覧"/>
      <sheetName val="プロセスフロー"/>
      <sheetName val="画面イメージ"/>
      <sheetName val="エラー内容"/>
      <sheetName val="表示順管理マスタデータ処理"/>
      <sheetName val="Ｍ＿Outlook表示順管理マスタ"/>
      <sheetName val="Ｔ＿経費損益_OutLook（商開）"/>
      <sheetName val="ＢＷ＿経費損益OutLook（商開）"/>
      <sheetName val="BW　IF　ビュー"/>
      <sheetName val="結合テスト仕様書"/>
      <sheetName val="項目対比一覧"/>
      <sheetName val="メモ"/>
      <sheetName val="ISO記入要領"/>
      <sheetName val="プログラムフロー"/>
      <sheetName val="選択パラメータ"/>
      <sheetName val="画面レイアウト"/>
      <sheetName val="テキストエレメント定義"/>
      <sheetName val="INPUTファイル編集項目"/>
      <sheetName val="OUTPUTファイル編集項目"/>
      <sheetName val="関連オブジェクト"/>
      <sheetName val="テーブル読込条件"/>
      <sheetName val="バッチインプット定義"/>
      <sheetName val="項目処理記述（ﾃｰﾌﾞﾙ編集）"/>
      <sheetName val="項目処理記述（ﾌｧｲﾙ編集）"/>
      <sheetName val="補足"/>
      <sheetName val="パラメータ"/>
      <sheetName val="社員リスト"/>
      <sheetName val="3-1&amp;2&amp;3"/>
      <sheetName val="仕切り率"/>
      <sheetName val="１１月納期Q"/>
      <sheetName val="Sheet1"/>
      <sheetName val="LIST"/>
      <sheetName val="勤務体系"/>
      <sheetName val="?TB"/>
      <sheetName val="_TB"/>
      <sheetName val="Daily Yazaki"/>
      <sheetName val="Daily WDC"/>
      <sheetName val="2003_12_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1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2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49"/>
  <sheetViews>
    <sheetView tabSelected="1" zoomScale="71" zoomScaleNormal="60" workbookViewId="0">
      <pane xSplit="3" ySplit="7" topLeftCell="T36" activePane="bottomRight" state="frozen"/>
      <selection pane="topRight" activeCell="D1" sqref="D1"/>
      <selection pane="bottomLeft" activeCell="A8" sqref="A8"/>
      <selection pane="bottomRight" activeCell="AH51" sqref="AH51"/>
    </sheetView>
  </sheetViews>
  <sheetFormatPr defaultColWidth="9.3984375" defaultRowHeight="16.5" customHeight="1" x14ac:dyDescent="0.25"/>
  <cols>
    <col min="1" max="1" width="20.3984375" customWidth="1"/>
    <col min="2" max="2" width="13.3984375" customWidth="1"/>
    <col min="3" max="7" width="10.3984375" customWidth="1"/>
    <col min="8" max="8" width="10.796875" customWidth="1"/>
    <col min="9" max="11" width="10.3984375" customWidth="1"/>
    <col min="12" max="12" width="10.796875" customWidth="1"/>
    <col min="13" max="13" width="11.3984375" customWidth="1"/>
    <col min="14" max="14" width="11.296875" customWidth="1"/>
    <col min="15" max="16" width="11.09765625" customWidth="1"/>
    <col min="17" max="17" width="11.3984375" customWidth="1"/>
    <col min="18" max="18" width="11" customWidth="1"/>
    <col min="19" max="19" width="11.19921875" customWidth="1"/>
    <col min="20" max="20" width="10.3984375" customWidth="1"/>
    <col min="21" max="23" width="10.796875" customWidth="1"/>
    <col min="24" max="27" width="10.3984375" customWidth="1"/>
    <col min="28" max="28" width="10.796875" bestFit="1" customWidth="1"/>
    <col min="29" max="29" width="11.796875" bestFit="1" customWidth="1"/>
    <col min="30" max="33" width="12.3984375" customWidth="1"/>
    <col min="34" max="34" width="19.3984375" customWidth="1"/>
    <col min="35" max="35" width="16.3984375" customWidth="1"/>
    <col min="36" max="36" width="20.3984375" bestFit="1" customWidth="1"/>
    <col min="37" max="37" width="18" customWidth="1"/>
    <col min="38" max="38" width="17.09765625" customWidth="1"/>
    <col min="39" max="39" width="24.3984375" bestFit="1" customWidth="1"/>
    <col min="40" max="40" width="11.3984375" bestFit="1" customWidth="1"/>
    <col min="41" max="41" width="17.796875" customWidth="1"/>
    <col min="42" max="42" width="11.09765625" customWidth="1"/>
    <col min="43" max="43" width="14.3984375" bestFit="1" customWidth="1"/>
    <col min="44" max="70" width="9.3984375" customWidth="1"/>
  </cols>
  <sheetData>
    <row r="1" spans="1:42" s="64" customFormat="1" ht="15" customHeight="1" x14ac:dyDescent="0.25">
      <c r="A1" s="170">
        <v>46082</v>
      </c>
      <c r="B1" s="162"/>
      <c r="C1" s="169">
        <v>46082</v>
      </c>
      <c r="D1" s="168">
        <f t="shared" ref="D1:AG1" si="0">+C1+1</f>
        <v>46083</v>
      </c>
      <c r="E1" s="168">
        <f t="shared" si="0"/>
        <v>46084</v>
      </c>
      <c r="F1" s="168">
        <f t="shared" si="0"/>
        <v>46085</v>
      </c>
      <c r="G1" s="168">
        <f t="shared" si="0"/>
        <v>46086</v>
      </c>
      <c r="H1" s="168">
        <f t="shared" si="0"/>
        <v>46087</v>
      </c>
      <c r="I1" s="168">
        <f t="shared" si="0"/>
        <v>46088</v>
      </c>
      <c r="J1" s="168">
        <f t="shared" si="0"/>
        <v>46089</v>
      </c>
      <c r="K1" s="168">
        <f t="shared" si="0"/>
        <v>46090</v>
      </c>
      <c r="L1" s="168">
        <f t="shared" si="0"/>
        <v>46091</v>
      </c>
      <c r="M1" s="168">
        <f t="shared" si="0"/>
        <v>46092</v>
      </c>
      <c r="N1" s="168">
        <f t="shared" si="0"/>
        <v>46093</v>
      </c>
      <c r="O1" s="168">
        <f t="shared" si="0"/>
        <v>46094</v>
      </c>
      <c r="P1" s="168">
        <f t="shared" si="0"/>
        <v>46095</v>
      </c>
      <c r="Q1" s="168">
        <f t="shared" si="0"/>
        <v>46096</v>
      </c>
      <c r="R1" s="168">
        <f t="shared" si="0"/>
        <v>46097</v>
      </c>
      <c r="S1" s="168">
        <f t="shared" si="0"/>
        <v>46098</v>
      </c>
      <c r="T1" s="168">
        <f t="shared" si="0"/>
        <v>46099</v>
      </c>
      <c r="U1" s="168">
        <f t="shared" si="0"/>
        <v>46100</v>
      </c>
      <c r="V1" s="168">
        <f t="shared" si="0"/>
        <v>46101</v>
      </c>
      <c r="W1" s="168">
        <f t="shared" si="0"/>
        <v>46102</v>
      </c>
      <c r="X1" s="168">
        <f t="shared" si="0"/>
        <v>46103</v>
      </c>
      <c r="Y1" s="168">
        <f t="shared" si="0"/>
        <v>46104</v>
      </c>
      <c r="Z1" s="168">
        <f t="shared" si="0"/>
        <v>46105</v>
      </c>
      <c r="AA1" s="168">
        <f t="shared" si="0"/>
        <v>46106</v>
      </c>
      <c r="AB1" s="168">
        <f t="shared" si="0"/>
        <v>46107</v>
      </c>
      <c r="AC1" s="168">
        <f t="shared" si="0"/>
        <v>46108</v>
      </c>
      <c r="AD1" s="168">
        <f t="shared" si="0"/>
        <v>46109</v>
      </c>
      <c r="AE1" s="168">
        <f t="shared" si="0"/>
        <v>46110</v>
      </c>
      <c r="AF1" s="168">
        <f t="shared" si="0"/>
        <v>46111</v>
      </c>
      <c r="AG1" s="168">
        <f t="shared" si="0"/>
        <v>46112</v>
      </c>
      <c r="AH1" s="102"/>
    </row>
    <row r="2" spans="1:42" s="64" customFormat="1" ht="15" customHeight="1" x14ac:dyDescent="0.25">
      <c r="A2" s="101"/>
      <c r="AA2" s="126"/>
    </row>
    <row r="3" spans="1:42" s="64" customFormat="1" ht="15" customHeight="1" x14ac:dyDescent="0.25">
      <c r="A3" s="167">
        <f>SUM(C3:AG3)</f>
        <v>45361.273343419998</v>
      </c>
      <c r="B3" s="63" t="s">
        <v>0</v>
      </c>
      <c r="C3" s="125">
        <f t="shared" ref="C3:E3" si="1">C18+C22</f>
        <v>1169.479720287</v>
      </c>
      <c r="D3" s="125">
        <f t="shared" si="1"/>
        <v>1229.044199832</v>
      </c>
      <c r="E3" s="125">
        <f t="shared" si="1"/>
        <v>742.85025378300008</v>
      </c>
      <c r="F3" s="133">
        <f>F18+F22</f>
        <v>1324.1315403180001</v>
      </c>
      <c r="G3" s="125">
        <f t="shared" ref="G3:K3" si="2">G18+G22</f>
        <v>2202.3746555910002</v>
      </c>
      <c r="H3" s="125">
        <f t="shared" si="2"/>
        <v>1239.0649542360004</v>
      </c>
      <c r="I3" s="133">
        <f t="shared" si="2"/>
        <v>1386.9264449789998</v>
      </c>
      <c r="J3" s="133">
        <f t="shared" si="2"/>
        <v>1212.6463152839997</v>
      </c>
      <c r="K3" s="133">
        <f t="shared" si="2"/>
        <v>1464.8678964390003</v>
      </c>
      <c r="L3" s="133">
        <f>L18+L22</f>
        <v>1116.1172788739996</v>
      </c>
      <c r="M3" s="125">
        <f>M18+M22</f>
        <v>1344.3724469699996</v>
      </c>
      <c r="N3" s="125">
        <f>N18+N22</f>
        <v>1201.7495381849999</v>
      </c>
      <c r="O3" s="125">
        <f>O18+O22</f>
        <v>1307.585282669</v>
      </c>
      <c r="P3" s="125">
        <f t="shared" ref="P3:S3" si="3">P18+P22</f>
        <v>1207.968117786</v>
      </c>
      <c r="Q3" s="125">
        <f t="shared" si="3"/>
        <v>1283.4844248510001</v>
      </c>
      <c r="R3" s="125">
        <f t="shared" si="3"/>
        <v>1011.810038643</v>
      </c>
      <c r="S3" s="133">
        <f t="shared" si="3"/>
        <v>1268.8647419690003</v>
      </c>
      <c r="T3" s="133">
        <f t="shared" ref="T3:Y3" si="4">T18+T22</f>
        <v>1459.6203498299999</v>
      </c>
      <c r="U3" s="125">
        <f t="shared" si="4"/>
        <v>1098.2493415980005</v>
      </c>
      <c r="V3" s="125">
        <f t="shared" si="4"/>
        <v>1121.0938979760001</v>
      </c>
      <c r="W3" s="125">
        <f t="shared" si="4"/>
        <v>1332.122082588</v>
      </c>
      <c r="X3" s="133">
        <f t="shared" si="4"/>
        <v>1363.8411933480002</v>
      </c>
      <c r="Y3" s="133">
        <f t="shared" si="4"/>
        <v>1555.371049484</v>
      </c>
      <c r="Z3" s="133">
        <f>Z18+Z22</f>
        <v>1592.0774819139999</v>
      </c>
      <c r="AA3" s="133">
        <f>AA18+AA22</f>
        <v>1157.2772173889998</v>
      </c>
      <c r="AB3" s="125">
        <f>AB18+AB22</f>
        <v>1215.5478239790004</v>
      </c>
      <c r="AC3" s="125">
        <f t="shared" ref="AC3:AD3" si="5">AC18+AC22</f>
        <v>1690.2115284339995</v>
      </c>
      <c r="AD3" s="125">
        <f t="shared" si="5"/>
        <v>1476.3967752059993</v>
      </c>
      <c r="AE3" s="125">
        <f>AE18+AE22</f>
        <v>1371.6510172559997</v>
      </c>
      <c r="AF3" s="125">
        <f t="shared" ref="AF3:AG3" si="6">AF18+AF22</f>
        <v>5951.2367166030035</v>
      </c>
      <c r="AG3" s="125">
        <f t="shared" si="6"/>
        <v>1263.2390171189998</v>
      </c>
      <c r="AJ3" s="103">
        <v>31.226400000000002</v>
      </c>
      <c r="AK3" s="64" t="s">
        <v>1</v>
      </c>
    </row>
    <row r="4" spans="1:42" s="64" customFormat="1" ht="15" customHeight="1" x14ac:dyDescent="0.25">
      <c r="A4" s="166">
        <f>SUM(C4:AG4)</f>
        <v>10009.147869100001</v>
      </c>
      <c r="B4" s="63" t="s">
        <v>2</v>
      </c>
      <c r="C4" s="64">
        <f t="shared" ref="C4:AG4" si="7">C10+C14</f>
        <v>324.04275159999986</v>
      </c>
      <c r="D4" s="64">
        <f t="shared" si="7"/>
        <v>370.16006709999994</v>
      </c>
      <c r="E4" s="64">
        <f t="shared" si="7"/>
        <v>347.46712209999993</v>
      </c>
      <c r="F4" s="64">
        <f t="shared" si="7"/>
        <v>341.77950739999989</v>
      </c>
      <c r="G4" s="64">
        <f t="shared" si="7"/>
        <v>337.91107919999996</v>
      </c>
      <c r="H4" s="64">
        <f t="shared" si="7"/>
        <v>310.54701340000003</v>
      </c>
      <c r="I4" s="64">
        <f t="shared" si="7"/>
        <v>360.86408660000001</v>
      </c>
      <c r="J4" s="64">
        <f t="shared" si="7"/>
        <v>339.83154000000002</v>
      </c>
      <c r="K4" s="64">
        <f t="shared" si="7"/>
        <v>402.59159879999999</v>
      </c>
      <c r="L4" s="64">
        <f t="shared" si="7"/>
        <v>362.48447540000001</v>
      </c>
      <c r="M4" s="64">
        <f t="shared" si="7"/>
        <v>379.16847860000001</v>
      </c>
      <c r="N4" s="64">
        <f t="shared" si="7"/>
        <v>316.15835980000003</v>
      </c>
      <c r="O4" s="64">
        <f t="shared" si="7"/>
        <v>293.72797780000002</v>
      </c>
      <c r="P4" s="64">
        <f t="shared" si="7"/>
        <v>316.36215870000001</v>
      </c>
      <c r="Q4" s="64">
        <f t="shared" si="7"/>
        <v>315.27314740000003</v>
      </c>
      <c r="R4" s="64">
        <f t="shared" si="7"/>
        <v>358.33097880000003</v>
      </c>
      <c r="S4" s="64">
        <f t="shared" si="7"/>
        <v>310.92710460000001</v>
      </c>
      <c r="T4" s="64">
        <f t="shared" si="7"/>
        <v>363.76603290000003</v>
      </c>
      <c r="U4" s="64">
        <f t="shared" si="7"/>
        <v>367.36064540000001</v>
      </c>
      <c r="V4" s="64">
        <f t="shared" si="7"/>
        <v>309.15918040000003</v>
      </c>
      <c r="W4" s="64">
        <f t="shared" si="7"/>
        <v>362.61950780000001</v>
      </c>
      <c r="X4" s="134">
        <f>X10+X14</f>
        <v>304.33427269999999</v>
      </c>
      <c r="Y4" s="134">
        <f>Y10+Y14</f>
        <v>357.39075320000001</v>
      </c>
      <c r="Z4" s="134">
        <f>Z10+Z14</f>
        <v>309.69805969999999</v>
      </c>
      <c r="AA4" s="184">
        <f>AA10+AA14</f>
        <v>325.32680970000001</v>
      </c>
      <c r="AB4" s="64">
        <f t="shared" si="7"/>
        <v>325.85443629999997</v>
      </c>
      <c r="AC4" s="64">
        <f t="shared" si="7"/>
        <v>192.88128040000001</v>
      </c>
      <c r="AD4" s="64">
        <f t="shared" si="7"/>
        <v>263.30692850000003</v>
      </c>
      <c r="AE4" s="64">
        <f t="shared" si="7"/>
        <v>246.76045830000001</v>
      </c>
      <c r="AF4" s="64">
        <f t="shared" si="7"/>
        <v>279.89215799999999</v>
      </c>
      <c r="AG4" s="64">
        <f t="shared" si="7"/>
        <v>213.16989849999999</v>
      </c>
    </row>
    <row r="5" spans="1:42" s="64" customFormat="1" ht="15" customHeight="1" x14ac:dyDescent="0.25">
      <c r="A5" s="101"/>
      <c r="B5" s="63"/>
      <c r="C5" s="64">
        <f t="shared" ref="C5:AD5" si="8">SUM(C3:C4)</f>
        <v>1493.5224718869999</v>
      </c>
      <c r="D5" s="64">
        <f t="shared" si="8"/>
        <v>1599.2042669319999</v>
      </c>
      <c r="E5" s="152">
        <f t="shared" si="8"/>
        <v>1090.3173758830001</v>
      </c>
      <c r="F5" s="152">
        <f>SUM(F3:F4)</f>
        <v>1665.911047718</v>
      </c>
      <c r="G5" s="152">
        <f t="shared" si="8"/>
        <v>2540.2857347910003</v>
      </c>
      <c r="H5" s="153">
        <f t="shared" si="8"/>
        <v>1549.6119676360004</v>
      </c>
      <c r="I5" s="153">
        <f t="shared" si="8"/>
        <v>1747.7905315789999</v>
      </c>
      <c r="J5" s="153">
        <f t="shared" si="8"/>
        <v>1552.4778552839998</v>
      </c>
      <c r="K5" s="153">
        <f t="shared" si="8"/>
        <v>1867.4594952390003</v>
      </c>
      <c r="L5" s="153">
        <f t="shared" si="8"/>
        <v>1478.6017542739996</v>
      </c>
      <c r="M5" s="153">
        <f t="shared" si="8"/>
        <v>1723.5409255699997</v>
      </c>
      <c r="N5" s="153">
        <f t="shared" si="8"/>
        <v>1517.9078979849999</v>
      </c>
      <c r="O5" s="153">
        <f t="shared" si="8"/>
        <v>1601.3132604689999</v>
      </c>
      <c r="P5" s="153">
        <f t="shared" si="8"/>
        <v>1524.330276486</v>
      </c>
      <c r="Q5" s="153">
        <f t="shared" si="8"/>
        <v>1598.7575722510001</v>
      </c>
      <c r="R5" s="153">
        <f t="shared" si="8"/>
        <v>1370.141017443</v>
      </c>
      <c r="S5" s="154">
        <f t="shared" si="8"/>
        <v>1579.7918465690004</v>
      </c>
      <c r="T5" s="153">
        <f t="shared" si="8"/>
        <v>1823.3863827299999</v>
      </c>
      <c r="U5" s="153">
        <f t="shared" si="8"/>
        <v>1465.6099869980005</v>
      </c>
      <c r="V5" s="153">
        <f t="shared" si="8"/>
        <v>1430.2530783760001</v>
      </c>
      <c r="W5" s="153">
        <f t="shared" si="8"/>
        <v>1694.7415903880001</v>
      </c>
      <c r="X5" s="154">
        <f t="shared" si="8"/>
        <v>1668.1754660480001</v>
      </c>
      <c r="Y5" s="153">
        <f t="shared" si="8"/>
        <v>1912.761802684</v>
      </c>
      <c r="Z5" s="165">
        <f t="shared" si="8"/>
        <v>1901.7755416139998</v>
      </c>
      <c r="AA5" s="153">
        <f t="shared" si="8"/>
        <v>1482.6040270889998</v>
      </c>
      <c r="AB5" s="157">
        <f>SUM(AB3:AB4)</f>
        <v>1541.4022602790005</v>
      </c>
      <c r="AC5" s="153">
        <f t="shared" si="8"/>
        <v>1883.0928088339995</v>
      </c>
      <c r="AD5" s="64">
        <f t="shared" si="8"/>
        <v>1739.7037037059995</v>
      </c>
      <c r="AE5" s="64">
        <f>SUM(AE3:AE4)</f>
        <v>1618.4114755559997</v>
      </c>
      <c r="AF5" s="64">
        <f>SUM(AF3:AF4)</f>
        <v>6231.1288746030032</v>
      </c>
      <c r="AG5" s="64">
        <f>SUM(AG3:AG4)</f>
        <v>1476.4089156189998</v>
      </c>
    </row>
    <row r="6" spans="1:42" s="102" customFormat="1" ht="15" customHeight="1" thickBot="1" x14ac:dyDescent="0.3">
      <c r="A6" s="65"/>
      <c r="B6" s="104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10"/>
      <c r="AF6" s="110"/>
      <c r="AG6" s="110"/>
      <c r="AH6" s="64"/>
      <c r="AM6" s="64"/>
      <c r="AN6" s="64"/>
      <c r="AO6" s="64"/>
      <c r="AP6" s="64"/>
    </row>
    <row r="7" spans="1:42" s="72" customFormat="1" ht="26.25" customHeight="1" thickBot="1" x14ac:dyDescent="0.3">
      <c r="A7" s="196" t="s">
        <v>6</v>
      </c>
      <c r="B7" s="197"/>
      <c r="C7" s="187">
        <f>A1</f>
        <v>46082</v>
      </c>
      <c r="D7" s="187">
        <f t="shared" ref="D7:E7" si="9">+C7+1</f>
        <v>46083</v>
      </c>
      <c r="E7" s="187">
        <f t="shared" si="9"/>
        <v>46084</v>
      </c>
      <c r="F7" s="187">
        <f t="shared" ref="F7" si="10">+E7+1</f>
        <v>46085</v>
      </c>
      <c r="G7" s="187">
        <f t="shared" ref="G7" si="11">+F7+1</f>
        <v>46086</v>
      </c>
      <c r="H7" s="187">
        <f t="shared" ref="H7" si="12">+G7+1</f>
        <v>46087</v>
      </c>
      <c r="I7" s="187">
        <f t="shared" ref="I7" si="13">+H7+1</f>
        <v>46088</v>
      </c>
      <c r="J7" s="187">
        <f t="shared" ref="J7" si="14">+I7+1</f>
        <v>46089</v>
      </c>
      <c r="K7" s="187">
        <f t="shared" ref="K7" si="15">+J7+1</f>
        <v>46090</v>
      </c>
      <c r="L7" s="187">
        <f t="shared" ref="L7" si="16">+K7+1</f>
        <v>46091</v>
      </c>
      <c r="M7" s="187">
        <f t="shared" ref="M7" si="17">+L7+1</f>
        <v>46092</v>
      </c>
      <c r="N7" s="187">
        <f t="shared" ref="N7" si="18">+M7+1</f>
        <v>46093</v>
      </c>
      <c r="O7" s="187">
        <f t="shared" ref="O7" si="19">+N7+1</f>
        <v>46094</v>
      </c>
      <c r="P7" s="187">
        <f>+O7+1</f>
        <v>46095</v>
      </c>
      <c r="Q7" s="187">
        <f t="shared" ref="Q7" si="20">+P7+1</f>
        <v>46096</v>
      </c>
      <c r="R7" s="187">
        <f t="shared" ref="R7" si="21">+Q7+1</f>
        <v>46097</v>
      </c>
      <c r="S7" s="187">
        <f t="shared" ref="S7" si="22">+R7+1</f>
        <v>46098</v>
      </c>
      <c r="T7" s="187">
        <f t="shared" ref="T7" si="23">+S7+1</f>
        <v>46099</v>
      </c>
      <c r="U7" s="187">
        <f t="shared" ref="U7" si="24">+T7+1</f>
        <v>46100</v>
      </c>
      <c r="V7" s="187">
        <f t="shared" ref="V7" si="25">+U7+1</f>
        <v>46101</v>
      </c>
      <c r="W7" s="187">
        <f t="shared" ref="W7" si="26">+V7+1</f>
        <v>46102</v>
      </c>
      <c r="X7" s="187">
        <f t="shared" ref="X7" si="27">+W7+1</f>
        <v>46103</v>
      </c>
      <c r="Y7" s="187">
        <f t="shared" ref="Y7" si="28">+X7+1</f>
        <v>46104</v>
      </c>
      <c r="Z7" s="187">
        <f t="shared" ref="Z7" si="29">+Y7+1</f>
        <v>46105</v>
      </c>
      <c r="AA7" s="187">
        <f t="shared" ref="AA7" si="30">+Z7+1</f>
        <v>46106</v>
      </c>
      <c r="AB7" s="187">
        <f t="shared" ref="AB7" si="31">+AA7+1</f>
        <v>46107</v>
      </c>
      <c r="AC7" s="187">
        <f t="shared" ref="AC7" si="32">+AB7+1</f>
        <v>46108</v>
      </c>
      <c r="AD7" s="187">
        <f t="shared" ref="AD7" si="33">+AC7+1</f>
        <v>46109</v>
      </c>
      <c r="AE7" s="187">
        <f t="shared" ref="AE7" si="34">+AD7+1</f>
        <v>46110</v>
      </c>
      <c r="AF7" s="187">
        <f t="shared" ref="AF7:AG7" si="35">+AE7+1</f>
        <v>46111</v>
      </c>
      <c r="AG7" s="187">
        <f t="shared" si="35"/>
        <v>46112</v>
      </c>
      <c r="AH7" s="64"/>
      <c r="AM7" s="6"/>
      <c r="AN7" s="6"/>
      <c r="AO7" s="6"/>
      <c r="AP7" s="5"/>
    </row>
    <row r="8" spans="1:42" s="5" customFormat="1" ht="18.75" customHeight="1" x14ac:dyDescent="0.25">
      <c r="A8" s="42"/>
      <c r="B8" s="182" t="s">
        <v>9</v>
      </c>
      <c r="C8" s="79">
        <f>$AK$84/31/1000</f>
        <v>94.857200231794465</v>
      </c>
      <c r="D8" s="79">
        <f t="shared" ref="D8:AG8" si="36">$AK$84/31/1000</f>
        <v>94.857200231794465</v>
      </c>
      <c r="E8" s="79">
        <f t="shared" si="36"/>
        <v>94.857200231794465</v>
      </c>
      <c r="F8" s="79">
        <f t="shared" si="36"/>
        <v>94.857200231794465</v>
      </c>
      <c r="G8" s="79">
        <f t="shared" si="36"/>
        <v>94.857200231794465</v>
      </c>
      <c r="H8" s="79">
        <f t="shared" si="36"/>
        <v>94.857200231794465</v>
      </c>
      <c r="I8" s="79">
        <f t="shared" si="36"/>
        <v>94.857200231794465</v>
      </c>
      <c r="J8" s="79">
        <f t="shared" si="36"/>
        <v>94.857200231794465</v>
      </c>
      <c r="K8" s="79">
        <f t="shared" si="36"/>
        <v>94.857200231794465</v>
      </c>
      <c r="L8" s="79">
        <f t="shared" si="36"/>
        <v>94.857200231794465</v>
      </c>
      <c r="M8" s="79">
        <f t="shared" si="36"/>
        <v>94.857200231794465</v>
      </c>
      <c r="N8" s="79">
        <f t="shared" si="36"/>
        <v>94.857200231794465</v>
      </c>
      <c r="O8" s="79">
        <f t="shared" si="36"/>
        <v>94.857200231794465</v>
      </c>
      <c r="P8" s="79">
        <f t="shared" si="36"/>
        <v>94.857200231794465</v>
      </c>
      <c r="Q8" s="79">
        <f t="shared" si="36"/>
        <v>94.857200231794465</v>
      </c>
      <c r="R8" s="79">
        <f t="shared" si="36"/>
        <v>94.857200231794465</v>
      </c>
      <c r="S8" s="79">
        <f t="shared" si="36"/>
        <v>94.857200231794465</v>
      </c>
      <c r="T8" s="79">
        <f t="shared" si="36"/>
        <v>94.857200231794465</v>
      </c>
      <c r="U8" s="79">
        <f t="shared" si="36"/>
        <v>94.857200231794465</v>
      </c>
      <c r="V8" s="79">
        <f t="shared" si="36"/>
        <v>94.857200231794465</v>
      </c>
      <c r="W8" s="79">
        <f t="shared" si="36"/>
        <v>94.857200231794465</v>
      </c>
      <c r="X8" s="79">
        <f t="shared" si="36"/>
        <v>94.857200231794465</v>
      </c>
      <c r="Y8" s="79">
        <f t="shared" si="36"/>
        <v>94.857200231794465</v>
      </c>
      <c r="Z8" s="79">
        <f t="shared" si="36"/>
        <v>94.857200231794465</v>
      </c>
      <c r="AA8" s="79">
        <f t="shared" si="36"/>
        <v>94.857200231794465</v>
      </c>
      <c r="AB8" s="79">
        <f t="shared" si="36"/>
        <v>94.857200231794465</v>
      </c>
      <c r="AC8" s="79">
        <f t="shared" si="36"/>
        <v>94.857200231794465</v>
      </c>
      <c r="AD8" s="79">
        <f t="shared" si="36"/>
        <v>94.857200231794465</v>
      </c>
      <c r="AE8" s="79">
        <f t="shared" si="36"/>
        <v>94.857200231794465</v>
      </c>
      <c r="AF8" s="79">
        <f t="shared" si="36"/>
        <v>94.857200231794465</v>
      </c>
      <c r="AG8" s="79">
        <f t="shared" si="36"/>
        <v>94.857200231794465</v>
      </c>
      <c r="AH8" s="64"/>
      <c r="AM8" s="6"/>
      <c r="AN8" s="6"/>
      <c r="AO8" s="6"/>
    </row>
    <row r="9" spans="1:42" s="7" customFormat="1" ht="18.75" customHeight="1" x14ac:dyDescent="0.25">
      <c r="A9" s="40" t="s">
        <v>12</v>
      </c>
      <c r="B9" s="172" t="s">
        <v>13</v>
      </c>
      <c r="C9" s="173">
        <f>+C8</f>
        <v>94.857200231794465</v>
      </c>
      <c r="D9" s="174">
        <f t="shared" ref="D9:AG9" si="37">C9+D8</f>
        <v>189.71440046358893</v>
      </c>
      <c r="E9" s="174">
        <f t="shared" si="37"/>
        <v>284.57160069538338</v>
      </c>
      <c r="F9" s="174">
        <f t="shared" si="37"/>
        <v>379.42880092717786</v>
      </c>
      <c r="G9" s="174">
        <f t="shared" si="37"/>
        <v>474.28600115897234</v>
      </c>
      <c r="H9" s="174">
        <f t="shared" si="37"/>
        <v>569.14320139076676</v>
      </c>
      <c r="I9" s="174">
        <f t="shared" si="37"/>
        <v>664.00040162256118</v>
      </c>
      <c r="J9" s="174">
        <f t="shared" si="37"/>
        <v>758.85760185435561</v>
      </c>
      <c r="K9" s="174">
        <f t="shared" si="37"/>
        <v>853.71480208615003</v>
      </c>
      <c r="L9" s="174">
        <f t="shared" si="37"/>
        <v>948.57200231794445</v>
      </c>
      <c r="M9" s="174">
        <f t="shared" si="37"/>
        <v>1043.4292025497389</v>
      </c>
      <c r="N9" s="174">
        <f t="shared" si="37"/>
        <v>1138.2864027815333</v>
      </c>
      <c r="O9" s="174">
        <f t="shared" si="37"/>
        <v>1233.1436030133277</v>
      </c>
      <c r="P9" s="174">
        <f t="shared" si="37"/>
        <v>1328.0008032451221</v>
      </c>
      <c r="Q9" s="174">
        <f t="shared" si="37"/>
        <v>1422.8580034769166</v>
      </c>
      <c r="R9" s="174">
        <f t="shared" si="37"/>
        <v>1517.715203708711</v>
      </c>
      <c r="S9" s="174">
        <f t="shared" si="37"/>
        <v>1612.5724039405054</v>
      </c>
      <c r="T9" s="174">
        <f t="shared" si="37"/>
        <v>1707.4296041722998</v>
      </c>
      <c r="U9" s="174">
        <f t="shared" si="37"/>
        <v>1802.2868044040943</v>
      </c>
      <c r="V9" s="174">
        <f t="shared" si="37"/>
        <v>1897.1440046358887</v>
      </c>
      <c r="W9" s="174">
        <f t="shared" si="37"/>
        <v>1992.0012048676831</v>
      </c>
      <c r="X9" s="174">
        <f t="shared" si="37"/>
        <v>2086.8584050994777</v>
      </c>
      <c r="Y9" s="174">
        <f t="shared" si="37"/>
        <v>2181.7156053312724</v>
      </c>
      <c r="Z9" s="174">
        <f t="shared" si="37"/>
        <v>2276.572805563067</v>
      </c>
      <c r="AA9" s="174">
        <f t="shared" si="37"/>
        <v>2371.4300057948617</v>
      </c>
      <c r="AB9" s="174">
        <f t="shared" si="37"/>
        <v>2466.2872060266563</v>
      </c>
      <c r="AC9" s="174">
        <f t="shared" si="37"/>
        <v>2561.144406258451</v>
      </c>
      <c r="AD9" s="174">
        <f t="shared" si="37"/>
        <v>2656.0016064902456</v>
      </c>
      <c r="AE9" s="174">
        <f t="shared" si="37"/>
        <v>2750.8588067220403</v>
      </c>
      <c r="AF9" s="174">
        <f t="shared" si="37"/>
        <v>2845.7160069538349</v>
      </c>
      <c r="AG9" s="174">
        <f t="shared" si="37"/>
        <v>2940.5732071856296</v>
      </c>
      <c r="AH9" s="64"/>
      <c r="AM9" s="6"/>
      <c r="AN9" s="6"/>
      <c r="AO9" s="6"/>
      <c r="AP9" s="5"/>
    </row>
    <row r="10" spans="1:42" s="6" customFormat="1" ht="18.75" customHeight="1" thickBot="1" x14ac:dyDescent="0.3">
      <c r="A10" s="40" t="s">
        <v>8</v>
      </c>
      <c r="B10" s="175" t="s">
        <v>15</v>
      </c>
      <c r="C10" s="176">
        <f>+C93-C95</f>
        <v>111.84683679999986</v>
      </c>
      <c r="D10" s="177">
        <f>+D93-D95</f>
        <v>104.83265379999995</v>
      </c>
      <c r="E10" s="177">
        <f t="shared" ref="E10:AG10" si="38">+E93-E95</f>
        <v>111.84683679999995</v>
      </c>
      <c r="F10" s="177">
        <f>+F93-F95</f>
        <v>104.83265379999989</v>
      </c>
      <c r="G10" s="177">
        <f t="shared" si="38"/>
        <v>130.65134879999994</v>
      </c>
      <c r="H10" s="177">
        <f t="shared" si="38"/>
        <v>111.84683680000003</v>
      </c>
      <c r="I10" s="177">
        <f t="shared" si="38"/>
        <v>104.8326538</v>
      </c>
      <c r="J10" s="177">
        <f>+J93-J95</f>
        <v>121.58917440000002</v>
      </c>
      <c r="K10" s="177">
        <f t="shared" si="38"/>
        <v>121.58917439999999</v>
      </c>
      <c r="L10" s="177">
        <f>+L93-L95</f>
        <v>109.11868219999999</v>
      </c>
      <c r="M10" s="177">
        <f t="shared" si="38"/>
        <v>121.58917439999999</v>
      </c>
      <c r="N10" s="177">
        <f t="shared" si="38"/>
        <v>114.57499140000002</v>
      </c>
      <c r="O10" s="177">
        <f t="shared" si="38"/>
        <v>128.60335740000002</v>
      </c>
      <c r="P10" s="177">
        <f t="shared" si="38"/>
        <v>95.090316200000018</v>
      </c>
      <c r="Q10" s="177">
        <f t="shared" si="38"/>
        <v>104.15249060000002</v>
      </c>
      <c r="R10" s="177">
        <f t="shared" si="38"/>
        <v>111.84683680000003</v>
      </c>
      <c r="S10" s="177">
        <f>+S93-S95</f>
        <v>104.15249059999999</v>
      </c>
      <c r="T10" s="177">
        <f t="shared" si="38"/>
        <v>102.7846624</v>
      </c>
      <c r="U10" s="177">
        <f t="shared" si="38"/>
        <v>86.028141800000014</v>
      </c>
      <c r="V10" s="177">
        <f>+V93-V95</f>
        <v>102.10449920000002</v>
      </c>
      <c r="W10" s="177">
        <f t="shared" si="38"/>
        <v>104.15249060000002</v>
      </c>
      <c r="X10" s="177">
        <f t="shared" si="38"/>
        <v>76.775921799999992</v>
      </c>
      <c r="Y10" s="177">
        <f t="shared" si="38"/>
        <v>111.84683680000001</v>
      </c>
      <c r="Z10" s="177">
        <f>+Z93-Z95</f>
        <v>111.84683679999998</v>
      </c>
      <c r="AA10" s="177">
        <f>+AA93-AA95</f>
        <v>64.305429600000025</v>
      </c>
      <c r="AB10" s="177">
        <f>+AB93-AB95</f>
        <v>76.775921799999963</v>
      </c>
      <c r="AC10" s="177">
        <f t="shared" si="38"/>
        <v>78.333795600000002</v>
      </c>
      <c r="AD10" s="177">
        <f t="shared" si="38"/>
        <v>55.243255200000021</v>
      </c>
      <c r="AE10" s="177">
        <f>+AE93-AE95</f>
        <v>76.285804200000001</v>
      </c>
      <c r="AF10" s="177">
        <f t="shared" si="38"/>
        <v>46.861243999999999</v>
      </c>
      <c r="AG10" s="177">
        <f t="shared" si="38"/>
        <v>48.22907219999999</v>
      </c>
      <c r="AP10" s="5"/>
    </row>
    <row r="11" spans="1:42" s="10" customFormat="1" ht="18.75" customHeight="1" thickBot="1" x14ac:dyDescent="0.3">
      <c r="A11" s="39"/>
      <c r="B11" s="178" t="s">
        <v>17</v>
      </c>
      <c r="C11" s="179">
        <f>C10</f>
        <v>111.84683679999986</v>
      </c>
      <c r="D11" s="180">
        <f t="shared" ref="D11:AG11" si="39">C11+D10</f>
        <v>216.67949059999981</v>
      </c>
      <c r="E11" s="180">
        <f t="shared" si="39"/>
        <v>328.52632739999979</v>
      </c>
      <c r="F11" s="180">
        <f t="shared" si="39"/>
        <v>433.35898119999968</v>
      </c>
      <c r="G11" s="180">
        <f t="shared" si="39"/>
        <v>564.01032999999961</v>
      </c>
      <c r="H11" s="180">
        <f t="shared" si="39"/>
        <v>675.85716679999962</v>
      </c>
      <c r="I11" s="180">
        <f t="shared" si="39"/>
        <v>780.68982059999962</v>
      </c>
      <c r="J11" s="180">
        <f t="shared" si="39"/>
        <v>902.27899499999967</v>
      </c>
      <c r="K11" s="180">
        <f t="shared" si="39"/>
        <v>1023.8681693999997</v>
      </c>
      <c r="L11" s="180">
        <f t="shared" si="39"/>
        <v>1132.9868515999997</v>
      </c>
      <c r="M11" s="180">
        <f t="shared" si="39"/>
        <v>1254.5760259999997</v>
      </c>
      <c r="N11" s="180">
        <f t="shared" si="39"/>
        <v>1369.1510173999998</v>
      </c>
      <c r="O11" s="180">
        <f>N11+O10</f>
        <v>1497.7543747999998</v>
      </c>
      <c r="P11" s="180">
        <f t="shared" si="39"/>
        <v>1592.8446909999998</v>
      </c>
      <c r="Q11" s="180">
        <f t="shared" si="39"/>
        <v>1696.9971815999997</v>
      </c>
      <c r="R11" s="180">
        <f t="shared" si="39"/>
        <v>1808.8440183999999</v>
      </c>
      <c r="S11" s="180">
        <f t="shared" si="39"/>
        <v>1912.9965089999998</v>
      </c>
      <c r="T11" s="180">
        <f t="shared" si="39"/>
        <v>2015.7811713999999</v>
      </c>
      <c r="U11" s="180">
        <f t="shared" si="39"/>
        <v>2101.8093131999999</v>
      </c>
      <c r="V11" s="180">
        <f t="shared" si="39"/>
        <v>2203.9138124000001</v>
      </c>
      <c r="W11" s="180">
        <f t="shared" si="39"/>
        <v>2308.0663030000001</v>
      </c>
      <c r="X11" s="180">
        <f t="shared" si="39"/>
        <v>2384.8422248000002</v>
      </c>
      <c r="Y11" s="180">
        <f t="shared" si="39"/>
        <v>2496.6890616000001</v>
      </c>
      <c r="Z11" s="180">
        <f t="shared" si="39"/>
        <v>2608.5358984</v>
      </c>
      <c r="AA11" s="180">
        <f>Z11+AA10</f>
        <v>2672.841328</v>
      </c>
      <c r="AB11" s="180">
        <f t="shared" si="39"/>
        <v>2749.6172498000001</v>
      </c>
      <c r="AC11" s="180">
        <f t="shared" si="39"/>
        <v>2827.9510454000001</v>
      </c>
      <c r="AD11" s="180">
        <f t="shared" si="39"/>
        <v>2883.1943006000001</v>
      </c>
      <c r="AE11" s="180">
        <f t="shared" si="39"/>
        <v>2959.4801047999999</v>
      </c>
      <c r="AF11" s="180">
        <f t="shared" si="39"/>
        <v>3006.3413488000001</v>
      </c>
      <c r="AG11" s="180">
        <f t="shared" si="39"/>
        <v>3054.5704209999999</v>
      </c>
      <c r="AM11" s="6"/>
      <c r="AN11" s="6"/>
      <c r="AO11" s="6"/>
      <c r="AP11" s="5"/>
    </row>
    <row r="12" spans="1:42" s="5" customFormat="1" ht="18.75" customHeight="1" x14ac:dyDescent="0.25">
      <c r="A12" s="42"/>
      <c r="B12" s="182" t="s">
        <v>9</v>
      </c>
      <c r="C12" s="79">
        <f>$AK$85/31/1000</f>
        <v>189.57993897173392</v>
      </c>
      <c r="D12" s="79">
        <f t="shared" ref="D12:AG12" si="40">$AK$85/31/1000</f>
        <v>189.57993897173392</v>
      </c>
      <c r="E12" s="79">
        <f t="shared" si="40"/>
        <v>189.57993897173392</v>
      </c>
      <c r="F12" s="79">
        <f t="shared" si="40"/>
        <v>189.57993897173392</v>
      </c>
      <c r="G12" s="79">
        <f t="shared" si="40"/>
        <v>189.57993897173392</v>
      </c>
      <c r="H12" s="79">
        <f t="shared" si="40"/>
        <v>189.57993897173392</v>
      </c>
      <c r="I12" s="79">
        <f t="shared" si="40"/>
        <v>189.57993897173392</v>
      </c>
      <c r="J12" s="79">
        <f t="shared" si="40"/>
        <v>189.57993897173392</v>
      </c>
      <c r="K12" s="79">
        <f t="shared" si="40"/>
        <v>189.57993897173392</v>
      </c>
      <c r="L12" s="79">
        <f t="shared" si="40"/>
        <v>189.57993897173392</v>
      </c>
      <c r="M12" s="79">
        <f t="shared" si="40"/>
        <v>189.57993897173392</v>
      </c>
      <c r="N12" s="79">
        <f t="shared" si="40"/>
        <v>189.57993897173392</v>
      </c>
      <c r="O12" s="79">
        <f t="shared" si="40"/>
        <v>189.57993897173392</v>
      </c>
      <c r="P12" s="79">
        <f t="shared" si="40"/>
        <v>189.57993897173392</v>
      </c>
      <c r="Q12" s="79">
        <f t="shared" si="40"/>
        <v>189.57993897173392</v>
      </c>
      <c r="R12" s="79">
        <f t="shared" si="40"/>
        <v>189.57993897173392</v>
      </c>
      <c r="S12" s="79">
        <f t="shared" si="40"/>
        <v>189.57993897173392</v>
      </c>
      <c r="T12" s="79">
        <f t="shared" si="40"/>
        <v>189.57993897173392</v>
      </c>
      <c r="U12" s="79">
        <f t="shared" si="40"/>
        <v>189.57993897173392</v>
      </c>
      <c r="V12" s="79">
        <f t="shared" si="40"/>
        <v>189.57993897173392</v>
      </c>
      <c r="W12" s="79">
        <f t="shared" si="40"/>
        <v>189.57993897173392</v>
      </c>
      <c r="X12" s="79">
        <f t="shared" si="40"/>
        <v>189.57993897173392</v>
      </c>
      <c r="Y12" s="79">
        <f t="shared" si="40"/>
        <v>189.57993897173392</v>
      </c>
      <c r="Z12" s="79">
        <f t="shared" si="40"/>
        <v>189.57993897173392</v>
      </c>
      <c r="AA12" s="79">
        <f t="shared" si="40"/>
        <v>189.57993897173392</v>
      </c>
      <c r="AB12" s="79">
        <f t="shared" si="40"/>
        <v>189.57993897173392</v>
      </c>
      <c r="AC12" s="79">
        <f t="shared" si="40"/>
        <v>189.57993897173392</v>
      </c>
      <c r="AD12" s="79">
        <f t="shared" si="40"/>
        <v>189.57993897173392</v>
      </c>
      <c r="AE12" s="79">
        <f t="shared" si="40"/>
        <v>189.57993897173392</v>
      </c>
      <c r="AF12" s="79">
        <f t="shared" si="40"/>
        <v>189.57993897173392</v>
      </c>
      <c r="AG12" s="79">
        <f t="shared" si="40"/>
        <v>189.57993897173392</v>
      </c>
      <c r="AM12" s="6"/>
      <c r="AN12" s="6"/>
      <c r="AO12" s="6"/>
    </row>
    <row r="13" spans="1:42" s="7" customFormat="1" ht="18.75" customHeight="1" x14ac:dyDescent="0.25">
      <c r="A13" s="40" t="s">
        <v>20</v>
      </c>
      <c r="B13" s="172" t="s">
        <v>13</v>
      </c>
      <c r="C13" s="173">
        <f>+C12</f>
        <v>189.57993897173392</v>
      </c>
      <c r="D13" s="174">
        <f t="shared" ref="D13:AG13" si="41">C13+D12</f>
        <v>379.15987794346785</v>
      </c>
      <c r="E13" s="174">
        <f t="shared" si="41"/>
        <v>568.7398169152018</v>
      </c>
      <c r="F13" s="174">
        <f t="shared" si="41"/>
        <v>758.3197558869357</v>
      </c>
      <c r="G13" s="174">
        <f t="shared" si="41"/>
        <v>947.89969485866959</v>
      </c>
      <c r="H13" s="174">
        <f t="shared" si="41"/>
        <v>1137.4796338304036</v>
      </c>
      <c r="I13" s="174">
        <f t="shared" si="41"/>
        <v>1327.0595728021376</v>
      </c>
      <c r="J13" s="174">
        <f t="shared" si="41"/>
        <v>1516.6395117738716</v>
      </c>
      <c r="K13" s="174">
        <f t="shared" si="41"/>
        <v>1706.2194507456056</v>
      </c>
      <c r="L13" s="174">
        <f t="shared" si="41"/>
        <v>1895.7993897173396</v>
      </c>
      <c r="M13" s="174">
        <f t="shared" si="41"/>
        <v>2085.3793286890736</v>
      </c>
      <c r="N13" s="174">
        <f t="shared" si="41"/>
        <v>2274.9592676608077</v>
      </c>
      <c r="O13" s="174">
        <f t="shared" si="41"/>
        <v>2464.5392066325417</v>
      </c>
      <c r="P13" s="174">
        <f t="shared" si="41"/>
        <v>2654.1191456042757</v>
      </c>
      <c r="Q13" s="174">
        <f t="shared" si="41"/>
        <v>2843.6990845760097</v>
      </c>
      <c r="R13" s="174">
        <f t="shared" si="41"/>
        <v>3033.2790235477437</v>
      </c>
      <c r="S13" s="174">
        <f t="shared" si="41"/>
        <v>3222.8589625194777</v>
      </c>
      <c r="T13" s="174">
        <f t="shared" si="41"/>
        <v>3412.4389014912117</v>
      </c>
      <c r="U13" s="174">
        <f t="shared" si="41"/>
        <v>3602.0188404629457</v>
      </c>
      <c r="V13" s="174">
        <f t="shared" si="41"/>
        <v>3791.5987794346797</v>
      </c>
      <c r="W13" s="174">
        <f t="shared" si="41"/>
        <v>3981.1787184064137</v>
      </c>
      <c r="X13" s="174">
        <f t="shared" si="41"/>
        <v>4170.7586573781473</v>
      </c>
      <c r="Y13" s="174">
        <f t="shared" si="41"/>
        <v>4360.3385963498813</v>
      </c>
      <c r="Z13" s="174">
        <f>Y13+Z12</f>
        <v>4549.9185353216153</v>
      </c>
      <c r="AA13" s="174">
        <f>Z13+AA12</f>
        <v>4739.4984742933493</v>
      </c>
      <c r="AB13" s="174">
        <f t="shared" si="41"/>
        <v>4929.0784132650833</v>
      </c>
      <c r="AC13" s="174">
        <f t="shared" si="41"/>
        <v>5118.6583522368173</v>
      </c>
      <c r="AD13" s="174">
        <f t="shared" si="41"/>
        <v>5308.2382912085513</v>
      </c>
      <c r="AE13" s="174">
        <f t="shared" si="41"/>
        <v>5497.8182301802854</v>
      </c>
      <c r="AF13" s="174">
        <f t="shared" si="41"/>
        <v>5687.3981691520194</v>
      </c>
      <c r="AG13" s="174">
        <f t="shared" si="41"/>
        <v>5876.9781081237534</v>
      </c>
      <c r="AM13" s="6"/>
      <c r="AN13" s="6"/>
      <c r="AO13" s="6"/>
      <c r="AP13" s="5"/>
    </row>
    <row r="14" spans="1:42" s="6" customFormat="1" ht="18.75" customHeight="1" thickBot="1" x14ac:dyDescent="0.3">
      <c r="A14" s="40" t="s">
        <v>22</v>
      </c>
      <c r="B14" s="175" t="s">
        <v>15</v>
      </c>
      <c r="C14" s="176">
        <f t="shared" ref="C14:AG14" si="42">+C95</f>
        <v>212.1959148</v>
      </c>
      <c r="D14" s="177">
        <f t="shared" si="42"/>
        <v>265.32741329999999</v>
      </c>
      <c r="E14" s="177">
        <f t="shared" si="42"/>
        <v>235.62028529999998</v>
      </c>
      <c r="F14" s="177">
        <f>+F95</f>
        <v>236.9468536</v>
      </c>
      <c r="G14" s="177">
        <f t="shared" si="42"/>
        <v>207.25973040000002</v>
      </c>
      <c r="H14" s="177">
        <f t="shared" si="42"/>
        <v>198.70017659999999</v>
      </c>
      <c r="I14" s="177">
        <f t="shared" si="42"/>
        <v>256.0314328</v>
      </c>
      <c r="J14" s="177">
        <f t="shared" si="42"/>
        <v>218.2423656</v>
      </c>
      <c r="K14" s="177">
        <f t="shared" si="42"/>
        <v>281.0024244</v>
      </c>
      <c r="L14" s="177">
        <f t="shared" si="42"/>
        <v>253.36579320000001</v>
      </c>
      <c r="M14" s="177">
        <f t="shared" si="42"/>
        <v>257.57930420000002</v>
      </c>
      <c r="N14" s="177">
        <f t="shared" si="42"/>
        <v>201.58336840000001</v>
      </c>
      <c r="O14" s="177">
        <f t="shared" si="42"/>
        <v>165.1246204</v>
      </c>
      <c r="P14" s="177">
        <f t="shared" si="42"/>
        <v>221.27184249999999</v>
      </c>
      <c r="Q14" s="177">
        <f t="shared" si="42"/>
        <v>211.12065680000001</v>
      </c>
      <c r="R14" s="177">
        <f t="shared" si="42"/>
        <v>246.48414199999999</v>
      </c>
      <c r="S14" s="177">
        <f>+S95</f>
        <v>206.77461400000001</v>
      </c>
      <c r="T14" s="177">
        <f t="shared" si="42"/>
        <v>260.98137050000003</v>
      </c>
      <c r="U14" s="177">
        <f t="shared" si="42"/>
        <v>281.3325036</v>
      </c>
      <c r="V14" s="177">
        <f t="shared" si="42"/>
        <v>207.0546812</v>
      </c>
      <c r="W14" s="177">
        <f t="shared" si="42"/>
        <v>258.46701719999999</v>
      </c>
      <c r="X14" s="177">
        <f t="shared" si="42"/>
        <v>227.55835089999999</v>
      </c>
      <c r="Y14" s="177">
        <f t="shared" si="42"/>
        <v>245.5439164</v>
      </c>
      <c r="Z14" s="177">
        <f>+Z95</f>
        <v>197.85122290000001</v>
      </c>
      <c r="AA14" s="177">
        <f t="shared" si="42"/>
        <v>261.02138009999999</v>
      </c>
      <c r="AB14" s="177">
        <f>+AB95</f>
        <v>249.07851450000001</v>
      </c>
      <c r="AC14" s="177">
        <f t="shared" si="42"/>
        <v>114.54748480000001</v>
      </c>
      <c r="AD14" s="177">
        <f t="shared" si="42"/>
        <v>208.0636733</v>
      </c>
      <c r="AE14" s="177">
        <f>+AE95</f>
        <v>170.47465410000001</v>
      </c>
      <c r="AF14" s="177">
        <f t="shared" si="42"/>
        <v>233.030914</v>
      </c>
      <c r="AG14" s="177">
        <f t="shared" si="42"/>
        <v>164.9408263</v>
      </c>
      <c r="AP14" s="5"/>
    </row>
    <row r="15" spans="1:42" s="8" customFormat="1" ht="18.75" customHeight="1" thickBot="1" x14ac:dyDescent="0.3">
      <c r="A15" s="39"/>
      <c r="B15" s="178" t="s">
        <v>17</v>
      </c>
      <c r="C15" s="179">
        <f>C14</f>
        <v>212.1959148</v>
      </c>
      <c r="D15" s="180">
        <f t="shared" ref="D15:AG15" si="43">C15+D14</f>
        <v>477.52332809999996</v>
      </c>
      <c r="E15" s="180">
        <f t="shared" si="43"/>
        <v>713.14361339999994</v>
      </c>
      <c r="F15" s="180">
        <f t="shared" si="43"/>
        <v>950.09046699999999</v>
      </c>
      <c r="G15" s="180">
        <f t="shared" si="43"/>
        <v>1157.3501974000001</v>
      </c>
      <c r="H15" s="180">
        <f t="shared" si="43"/>
        <v>1356.0503740000001</v>
      </c>
      <c r="I15" s="180">
        <f t="shared" si="43"/>
        <v>1612.0818068000001</v>
      </c>
      <c r="J15" s="180">
        <f t="shared" si="43"/>
        <v>1830.3241724000002</v>
      </c>
      <c r="K15" s="180">
        <f>J15+K14</f>
        <v>2111.3265968000001</v>
      </c>
      <c r="L15" s="180">
        <f t="shared" si="43"/>
        <v>2364.6923900000002</v>
      </c>
      <c r="M15" s="180">
        <f t="shared" si="43"/>
        <v>2622.2716942000002</v>
      </c>
      <c r="N15" s="180">
        <f>M15+N14</f>
        <v>2823.8550626000001</v>
      </c>
      <c r="O15" s="180">
        <f t="shared" si="43"/>
        <v>2988.979683</v>
      </c>
      <c r="P15" s="180">
        <f t="shared" si="43"/>
        <v>3210.2515254999998</v>
      </c>
      <c r="Q15" s="180">
        <f t="shared" si="43"/>
        <v>3421.3721822999996</v>
      </c>
      <c r="R15" s="180">
        <f t="shared" si="43"/>
        <v>3667.8563242999994</v>
      </c>
      <c r="S15" s="180">
        <f t="shared" si="43"/>
        <v>3874.6309382999993</v>
      </c>
      <c r="T15" s="180">
        <f t="shared" si="43"/>
        <v>4135.6123087999995</v>
      </c>
      <c r="U15" s="180">
        <f t="shared" si="43"/>
        <v>4416.9448123999991</v>
      </c>
      <c r="V15" s="180">
        <f t="shared" si="43"/>
        <v>4623.9994935999994</v>
      </c>
      <c r="W15" s="180">
        <f t="shared" si="43"/>
        <v>4882.466510799999</v>
      </c>
      <c r="X15" s="180">
        <f t="shared" si="43"/>
        <v>5110.0248616999988</v>
      </c>
      <c r="Y15" s="180">
        <f t="shared" si="43"/>
        <v>5355.5687780999988</v>
      </c>
      <c r="Z15" s="180">
        <f>Y15+Z14</f>
        <v>5553.4200009999986</v>
      </c>
      <c r="AA15" s="180">
        <f>Z15+AA14</f>
        <v>5814.4413810999986</v>
      </c>
      <c r="AB15" s="180">
        <f t="shared" si="43"/>
        <v>6063.5198955999986</v>
      </c>
      <c r="AC15" s="180">
        <f t="shared" si="43"/>
        <v>6178.0673803999989</v>
      </c>
      <c r="AD15" s="180">
        <f t="shared" si="43"/>
        <v>6386.131053699999</v>
      </c>
      <c r="AE15" s="180">
        <f t="shared" si="43"/>
        <v>6556.6057077999994</v>
      </c>
      <c r="AF15" s="180">
        <f t="shared" si="43"/>
        <v>6789.6366217999994</v>
      </c>
      <c r="AG15" s="180">
        <f t="shared" si="43"/>
        <v>6954.5774480999989</v>
      </c>
      <c r="AM15" s="6"/>
      <c r="AN15" s="6"/>
      <c r="AO15" s="6"/>
      <c r="AP15" s="5"/>
    </row>
    <row r="16" spans="1:42" s="5" customFormat="1" ht="18.75" customHeight="1" x14ac:dyDescent="0.25">
      <c r="A16" s="42"/>
      <c r="B16" s="182" t="s">
        <v>9</v>
      </c>
      <c r="C16" s="79">
        <f>$AK$86/31/1000</f>
        <v>373.04832574850303</v>
      </c>
      <c r="D16" s="79">
        <f t="shared" ref="D16:AG16" si="44">$AK$86/31/1000</f>
        <v>373.04832574850303</v>
      </c>
      <c r="E16" s="79">
        <f t="shared" si="44"/>
        <v>373.04832574850303</v>
      </c>
      <c r="F16" s="79">
        <f t="shared" si="44"/>
        <v>373.04832574850303</v>
      </c>
      <c r="G16" s="79">
        <f t="shared" si="44"/>
        <v>373.04832574850303</v>
      </c>
      <c r="H16" s="79">
        <f t="shared" si="44"/>
        <v>373.04832574850303</v>
      </c>
      <c r="I16" s="79">
        <f t="shared" si="44"/>
        <v>373.04832574850303</v>
      </c>
      <c r="J16" s="79">
        <f t="shared" si="44"/>
        <v>373.04832574850303</v>
      </c>
      <c r="K16" s="79">
        <f t="shared" si="44"/>
        <v>373.04832574850303</v>
      </c>
      <c r="L16" s="79">
        <f t="shared" si="44"/>
        <v>373.04832574850303</v>
      </c>
      <c r="M16" s="79">
        <f t="shared" si="44"/>
        <v>373.04832574850303</v>
      </c>
      <c r="N16" s="79">
        <f t="shared" si="44"/>
        <v>373.04832574850303</v>
      </c>
      <c r="O16" s="79">
        <f t="shared" si="44"/>
        <v>373.04832574850303</v>
      </c>
      <c r="P16" s="79">
        <f t="shared" si="44"/>
        <v>373.04832574850303</v>
      </c>
      <c r="Q16" s="79">
        <f t="shared" si="44"/>
        <v>373.04832574850303</v>
      </c>
      <c r="R16" s="79">
        <f t="shared" si="44"/>
        <v>373.04832574850303</v>
      </c>
      <c r="S16" s="79">
        <f t="shared" si="44"/>
        <v>373.04832574850303</v>
      </c>
      <c r="T16" s="79">
        <f t="shared" si="44"/>
        <v>373.04832574850303</v>
      </c>
      <c r="U16" s="79">
        <f t="shared" si="44"/>
        <v>373.04832574850303</v>
      </c>
      <c r="V16" s="79">
        <f t="shared" si="44"/>
        <v>373.04832574850303</v>
      </c>
      <c r="W16" s="79">
        <f t="shared" si="44"/>
        <v>373.04832574850303</v>
      </c>
      <c r="X16" s="79">
        <f t="shared" si="44"/>
        <v>373.04832574850303</v>
      </c>
      <c r="Y16" s="79">
        <f t="shared" si="44"/>
        <v>373.04832574850303</v>
      </c>
      <c r="Z16" s="79">
        <f t="shared" si="44"/>
        <v>373.04832574850303</v>
      </c>
      <c r="AA16" s="79">
        <f t="shared" si="44"/>
        <v>373.04832574850303</v>
      </c>
      <c r="AB16" s="79">
        <f t="shared" si="44"/>
        <v>373.04832574850303</v>
      </c>
      <c r="AC16" s="79">
        <f t="shared" si="44"/>
        <v>373.04832574850303</v>
      </c>
      <c r="AD16" s="79">
        <f t="shared" si="44"/>
        <v>373.04832574850303</v>
      </c>
      <c r="AE16" s="79">
        <f t="shared" si="44"/>
        <v>373.04832574850303</v>
      </c>
      <c r="AF16" s="79">
        <f t="shared" si="44"/>
        <v>373.04832574850303</v>
      </c>
      <c r="AG16" s="79">
        <f t="shared" si="44"/>
        <v>373.04832574850303</v>
      </c>
      <c r="AM16" s="6"/>
      <c r="AN16" s="6"/>
      <c r="AO16" s="6"/>
    </row>
    <row r="17" spans="1:42" s="9" customFormat="1" ht="18.75" customHeight="1" x14ac:dyDescent="0.25">
      <c r="A17" s="40" t="s">
        <v>25</v>
      </c>
      <c r="B17" s="172" t="s">
        <v>13</v>
      </c>
      <c r="C17" s="173">
        <f>+C16</f>
        <v>373.04832574850303</v>
      </c>
      <c r="D17" s="174">
        <f t="shared" ref="D17:AG17" si="45">C17+D16</f>
        <v>746.09665149700606</v>
      </c>
      <c r="E17" s="174">
        <f t="shared" si="45"/>
        <v>1119.1449772455092</v>
      </c>
      <c r="F17" s="174">
        <f t="shared" si="45"/>
        <v>1492.1933029940121</v>
      </c>
      <c r="G17" s="174">
        <f t="shared" si="45"/>
        <v>1865.2416287425151</v>
      </c>
      <c r="H17" s="174">
        <f t="shared" si="45"/>
        <v>2238.2899544910183</v>
      </c>
      <c r="I17" s="174">
        <f t="shared" si="45"/>
        <v>2611.3382802395213</v>
      </c>
      <c r="J17" s="174">
        <f t="shared" si="45"/>
        <v>2984.3866059880243</v>
      </c>
      <c r="K17" s="174">
        <f t="shared" si="45"/>
        <v>3357.4349317365272</v>
      </c>
      <c r="L17" s="174">
        <f t="shared" si="45"/>
        <v>3730.4832574850302</v>
      </c>
      <c r="M17" s="174">
        <f t="shared" si="45"/>
        <v>4103.5315832335336</v>
      </c>
      <c r="N17" s="174">
        <f t="shared" si="45"/>
        <v>4476.5799089820366</v>
      </c>
      <c r="O17" s="174">
        <f t="shared" si="45"/>
        <v>4849.6282347305396</v>
      </c>
      <c r="P17" s="174">
        <f t="shared" si="45"/>
        <v>5222.6765604790426</v>
      </c>
      <c r="Q17" s="174">
        <f t="shared" si="45"/>
        <v>5595.7248862275455</v>
      </c>
      <c r="R17" s="174">
        <f t="shared" si="45"/>
        <v>5968.7732119760485</v>
      </c>
      <c r="S17" s="174">
        <f t="shared" si="45"/>
        <v>6341.8215377245515</v>
      </c>
      <c r="T17" s="174">
        <f t="shared" si="45"/>
        <v>6714.8698634730545</v>
      </c>
      <c r="U17" s="174">
        <f t="shared" si="45"/>
        <v>7087.9181892215574</v>
      </c>
      <c r="V17" s="174">
        <f t="shared" si="45"/>
        <v>7460.9665149700604</v>
      </c>
      <c r="W17" s="174">
        <f t="shared" si="45"/>
        <v>7834.0148407185634</v>
      </c>
      <c r="X17" s="174">
        <f t="shared" si="45"/>
        <v>8207.0631664670673</v>
      </c>
      <c r="Y17" s="174">
        <f t="shared" si="45"/>
        <v>8580.1114922155703</v>
      </c>
      <c r="Z17" s="174">
        <f>Y17+Z16</f>
        <v>8953.1598179640732</v>
      </c>
      <c r="AA17" s="174">
        <f>Z17+AA16</f>
        <v>9326.2081437125762</v>
      </c>
      <c r="AB17" s="174">
        <f t="shared" si="45"/>
        <v>9699.2564694610792</v>
      </c>
      <c r="AC17" s="174">
        <f t="shared" si="45"/>
        <v>10072.304795209582</v>
      </c>
      <c r="AD17" s="174">
        <f t="shared" si="45"/>
        <v>10445.353120958085</v>
      </c>
      <c r="AE17" s="174">
        <f t="shared" si="45"/>
        <v>10818.401446706588</v>
      </c>
      <c r="AF17" s="174">
        <f t="shared" si="45"/>
        <v>11191.449772455091</v>
      </c>
      <c r="AG17" s="174">
        <f t="shared" si="45"/>
        <v>11564.498098203594</v>
      </c>
      <c r="AM17" s="6"/>
      <c r="AN17" s="6"/>
      <c r="AO17" s="6"/>
      <c r="AP17" s="5"/>
    </row>
    <row r="18" spans="1:42" s="6" customFormat="1" ht="18.75" customHeight="1" thickBot="1" x14ac:dyDescent="0.3">
      <c r="A18" s="40" t="s">
        <v>8</v>
      </c>
      <c r="B18" s="175" t="s">
        <v>15</v>
      </c>
      <c r="C18" s="176">
        <f>+C91-C22</f>
        <v>547.36013491199992</v>
      </c>
      <c r="D18" s="177">
        <f>+D91-D22</f>
        <v>548.54842003199985</v>
      </c>
      <c r="E18" s="177">
        <f>+E91-E22</f>
        <v>367.72743340800008</v>
      </c>
      <c r="F18" s="177">
        <f>+F91-F22</f>
        <v>621.91242316800015</v>
      </c>
      <c r="G18" s="177">
        <f t="shared" ref="G18:AG18" si="46">+G91-G22</f>
        <v>656.68596681600025</v>
      </c>
      <c r="H18" s="177">
        <f t="shared" si="46"/>
        <v>612.4133439360005</v>
      </c>
      <c r="I18" s="177">
        <f t="shared" si="46"/>
        <v>450.14760950399966</v>
      </c>
      <c r="J18" s="177">
        <f t="shared" si="46"/>
        <v>445.35846038399961</v>
      </c>
      <c r="K18" s="177">
        <f t="shared" si="46"/>
        <v>522.57898886400028</v>
      </c>
      <c r="L18" s="177">
        <f t="shared" si="46"/>
        <v>414.60708182399947</v>
      </c>
      <c r="M18" s="177">
        <f>+M91-M22</f>
        <v>433.5620299199993</v>
      </c>
      <c r="N18" s="177">
        <f t="shared" si="46"/>
        <v>506.96564255999988</v>
      </c>
      <c r="O18" s="177">
        <f t="shared" si="46"/>
        <v>402.56219174399973</v>
      </c>
      <c r="P18" s="177">
        <f t="shared" si="46"/>
        <v>479.45144073599988</v>
      </c>
      <c r="Q18" s="177">
        <f t="shared" si="46"/>
        <v>387.48537417599982</v>
      </c>
      <c r="R18" s="177">
        <f t="shared" si="46"/>
        <v>411.80200876799995</v>
      </c>
      <c r="S18" s="177">
        <f>+S91-S22</f>
        <v>381.83690636900019</v>
      </c>
      <c r="T18" s="177">
        <f t="shared" si="46"/>
        <v>413.81129087999943</v>
      </c>
      <c r="U18" s="177">
        <f t="shared" si="46"/>
        <v>322.57259884800021</v>
      </c>
      <c r="V18" s="177">
        <f t="shared" si="46"/>
        <v>408.46040697599994</v>
      </c>
      <c r="W18" s="177">
        <f t="shared" si="46"/>
        <v>596.09422828799984</v>
      </c>
      <c r="X18" s="177">
        <f t="shared" si="46"/>
        <v>470.83817404799993</v>
      </c>
      <c r="Y18" s="177">
        <f t="shared" si="46"/>
        <v>596.95483478399944</v>
      </c>
      <c r="Z18" s="177">
        <f t="shared" ref="Z18:AE18" si="47">+Z91-Z22</f>
        <v>563.2687520639995</v>
      </c>
      <c r="AA18" s="177">
        <f t="shared" si="47"/>
        <v>469.75131326399969</v>
      </c>
      <c r="AB18" s="177">
        <f t="shared" si="47"/>
        <v>471.39270710400024</v>
      </c>
      <c r="AC18" s="177">
        <f t="shared" si="47"/>
        <v>570.48848438399887</v>
      </c>
      <c r="AD18" s="177">
        <f t="shared" si="47"/>
        <v>589.65588345599906</v>
      </c>
      <c r="AE18" s="177">
        <f t="shared" si="47"/>
        <v>463.89570825599924</v>
      </c>
      <c r="AF18" s="177">
        <f t="shared" si="46"/>
        <v>516.46112092800286</v>
      </c>
      <c r="AG18" s="177">
        <f t="shared" si="46"/>
        <v>480.97100534399988</v>
      </c>
      <c r="AP18" s="5"/>
    </row>
    <row r="19" spans="1:42" s="8" customFormat="1" ht="18.75" customHeight="1" thickBot="1" x14ac:dyDescent="0.3">
      <c r="A19" s="40"/>
      <c r="B19" s="181" t="s">
        <v>17</v>
      </c>
      <c r="C19" s="179">
        <f>C18</f>
        <v>547.36013491199992</v>
      </c>
      <c r="D19" s="180">
        <f t="shared" ref="D19:AG19" si="48">C19+D18</f>
        <v>1095.9085549439997</v>
      </c>
      <c r="E19" s="180">
        <f t="shared" si="48"/>
        <v>1463.6359883519997</v>
      </c>
      <c r="F19" s="180">
        <f t="shared" si="48"/>
        <v>2085.5484115199997</v>
      </c>
      <c r="G19" s="180">
        <f t="shared" si="48"/>
        <v>2742.2343783360002</v>
      </c>
      <c r="H19" s="180">
        <f t="shared" si="48"/>
        <v>3354.6477222720005</v>
      </c>
      <c r="I19" s="180">
        <f t="shared" si="48"/>
        <v>3804.7953317760002</v>
      </c>
      <c r="J19" s="180">
        <f t="shared" si="48"/>
        <v>4250.1537921600002</v>
      </c>
      <c r="K19" s="180">
        <f t="shared" si="48"/>
        <v>4772.7327810240004</v>
      </c>
      <c r="L19" s="180">
        <f t="shared" si="48"/>
        <v>5187.3398628479999</v>
      </c>
      <c r="M19" s="180">
        <f t="shared" si="48"/>
        <v>5620.901892767999</v>
      </c>
      <c r="N19" s="180">
        <f t="shared" si="48"/>
        <v>6127.8675353279987</v>
      </c>
      <c r="O19" s="180">
        <f t="shared" si="48"/>
        <v>6530.4297270719981</v>
      </c>
      <c r="P19" s="180">
        <f t="shared" si="48"/>
        <v>7009.8811678079983</v>
      </c>
      <c r="Q19" s="180">
        <f t="shared" si="48"/>
        <v>7397.3665419839981</v>
      </c>
      <c r="R19" s="180">
        <f t="shared" si="48"/>
        <v>7809.1685507519978</v>
      </c>
      <c r="S19" s="180">
        <f t="shared" si="48"/>
        <v>8191.0054571209985</v>
      </c>
      <c r="T19" s="180">
        <f t="shared" si="48"/>
        <v>8604.8167480009979</v>
      </c>
      <c r="U19" s="180">
        <f t="shared" si="48"/>
        <v>8927.3893468489987</v>
      </c>
      <c r="V19" s="180">
        <f t="shared" si="48"/>
        <v>9335.8497538249994</v>
      </c>
      <c r="W19" s="180">
        <f t="shared" si="48"/>
        <v>9931.9439821129999</v>
      </c>
      <c r="X19" s="180">
        <f t="shared" si="48"/>
        <v>10402.782156161</v>
      </c>
      <c r="Y19" s="180">
        <f t="shared" si="48"/>
        <v>10999.736990944999</v>
      </c>
      <c r="Z19" s="180">
        <f>Y19+Z18</f>
        <v>11563.005743008998</v>
      </c>
      <c r="AA19" s="180">
        <f>Z19+AA18</f>
        <v>12032.757056272998</v>
      </c>
      <c r="AB19" s="180">
        <f t="shared" si="48"/>
        <v>12504.149763376998</v>
      </c>
      <c r="AC19" s="180">
        <f t="shared" si="48"/>
        <v>13074.638247760997</v>
      </c>
      <c r="AD19" s="180">
        <f t="shared" si="48"/>
        <v>13664.294131216995</v>
      </c>
      <c r="AE19" s="180">
        <f t="shared" si="48"/>
        <v>14128.189839472994</v>
      </c>
      <c r="AF19" s="180">
        <f t="shared" si="48"/>
        <v>14644.650960400997</v>
      </c>
      <c r="AG19" s="180">
        <f t="shared" si="48"/>
        <v>15125.621965744996</v>
      </c>
      <c r="AH19" s="8">
        <f>AG19*1000</f>
        <v>15125621.965744996</v>
      </c>
      <c r="AN19" s="6"/>
      <c r="AO19" s="6"/>
      <c r="AP19" s="5"/>
    </row>
    <row r="20" spans="1:42" s="5" customFormat="1" ht="18.75" customHeight="1" x14ac:dyDescent="0.25">
      <c r="A20" s="43"/>
      <c r="B20" s="46" t="s">
        <v>9</v>
      </c>
      <c r="C20" s="74">
        <f>$AK$87/31/1000</f>
        <v>811.14737164187761</v>
      </c>
      <c r="D20" s="74">
        <f t="shared" ref="D20:AG20" si="49">$AK$87/31/1000</f>
        <v>811.14737164187761</v>
      </c>
      <c r="E20" s="74">
        <f t="shared" si="49"/>
        <v>811.14737164187761</v>
      </c>
      <c r="F20" s="74">
        <f t="shared" si="49"/>
        <v>811.14737164187761</v>
      </c>
      <c r="G20" s="74">
        <f t="shared" si="49"/>
        <v>811.14737164187761</v>
      </c>
      <c r="H20" s="74">
        <f t="shared" si="49"/>
        <v>811.14737164187761</v>
      </c>
      <c r="I20" s="74">
        <f t="shared" si="49"/>
        <v>811.14737164187761</v>
      </c>
      <c r="J20" s="74">
        <f t="shared" si="49"/>
        <v>811.14737164187761</v>
      </c>
      <c r="K20" s="74">
        <f t="shared" si="49"/>
        <v>811.14737164187761</v>
      </c>
      <c r="L20" s="74">
        <f t="shared" si="49"/>
        <v>811.14737164187761</v>
      </c>
      <c r="M20" s="74">
        <f t="shared" si="49"/>
        <v>811.14737164187761</v>
      </c>
      <c r="N20" s="74">
        <f t="shared" si="49"/>
        <v>811.14737164187761</v>
      </c>
      <c r="O20" s="74">
        <f t="shared" si="49"/>
        <v>811.14737164187761</v>
      </c>
      <c r="P20" s="74">
        <f t="shared" si="49"/>
        <v>811.14737164187761</v>
      </c>
      <c r="Q20" s="74">
        <f t="shared" si="49"/>
        <v>811.14737164187761</v>
      </c>
      <c r="R20" s="74">
        <f t="shared" si="49"/>
        <v>811.14737164187761</v>
      </c>
      <c r="S20" s="74">
        <f t="shared" si="49"/>
        <v>811.14737164187761</v>
      </c>
      <c r="T20" s="74">
        <f t="shared" si="49"/>
        <v>811.14737164187761</v>
      </c>
      <c r="U20" s="74">
        <f t="shared" si="49"/>
        <v>811.14737164187761</v>
      </c>
      <c r="V20" s="74">
        <f t="shared" si="49"/>
        <v>811.14737164187761</v>
      </c>
      <c r="W20" s="74">
        <f t="shared" si="49"/>
        <v>811.14737164187761</v>
      </c>
      <c r="X20" s="74">
        <f t="shared" si="49"/>
        <v>811.14737164187761</v>
      </c>
      <c r="Y20" s="74">
        <f t="shared" si="49"/>
        <v>811.14737164187761</v>
      </c>
      <c r="Z20" s="74">
        <f t="shared" si="49"/>
        <v>811.14737164187761</v>
      </c>
      <c r="AA20" s="74">
        <f t="shared" si="49"/>
        <v>811.14737164187761</v>
      </c>
      <c r="AB20" s="74">
        <f t="shared" si="49"/>
        <v>811.14737164187761</v>
      </c>
      <c r="AC20" s="74">
        <f t="shared" si="49"/>
        <v>811.14737164187761</v>
      </c>
      <c r="AD20" s="74">
        <f t="shared" si="49"/>
        <v>811.14737164187761</v>
      </c>
      <c r="AE20" s="74">
        <f t="shared" si="49"/>
        <v>811.14737164187761</v>
      </c>
      <c r="AF20" s="74">
        <f t="shared" si="49"/>
        <v>811.14737164187761</v>
      </c>
      <c r="AG20" s="74">
        <f t="shared" si="49"/>
        <v>811.14737164187761</v>
      </c>
      <c r="AN20" s="6"/>
      <c r="AO20" s="6"/>
    </row>
    <row r="21" spans="1:42" s="7" customFormat="1" ht="18.75" customHeight="1" x14ac:dyDescent="0.25">
      <c r="A21" s="41" t="s">
        <v>25</v>
      </c>
      <c r="B21" s="44" t="s">
        <v>13</v>
      </c>
      <c r="C21" s="75">
        <f>+C20</f>
        <v>811.14737164187761</v>
      </c>
      <c r="D21" s="76">
        <f t="shared" ref="D21:AG21" si="50">C21+D20</f>
        <v>1622.2947432837552</v>
      </c>
      <c r="E21" s="76">
        <f t="shared" si="50"/>
        <v>2433.4421149256327</v>
      </c>
      <c r="F21" s="76">
        <f t="shared" si="50"/>
        <v>3244.5894865675104</v>
      </c>
      <c r="G21" s="76">
        <f t="shared" si="50"/>
        <v>4055.7368582093882</v>
      </c>
      <c r="H21" s="76">
        <f t="shared" si="50"/>
        <v>4866.8842298512654</v>
      </c>
      <c r="I21" s="76">
        <f t="shared" si="50"/>
        <v>5678.0316014931432</v>
      </c>
      <c r="J21" s="76">
        <f t="shared" si="50"/>
        <v>6489.1789731350209</v>
      </c>
      <c r="K21" s="76">
        <f t="shared" si="50"/>
        <v>7300.3263447768986</v>
      </c>
      <c r="L21" s="76">
        <f t="shared" si="50"/>
        <v>8111.4737164187763</v>
      </c>
      <c r="M21" s="76">
        <f t="shared" si="50"/>
        <v>8922.6210880606541</v>
      </c>
      <c r="N21" s="76">
        <f>M21+N20</f>
        <v>9733.7684597025309</v>
      </c>
      <c r="O21" s="76">
        <f t="shared" si="50"/>
        <v>10544.915831344408</v>
      </c>
      <c r="P21" s="76">
        <f t="shared" si="50"/>
        <v>11356.063202986285</v>
      </c>
      <c r="Q21" s="76">
        <f t="shared" si="50"/>
        <v>12167.210574628161</v>
      </c>
      <c r="R21" s="76">
        <f t="shared" si="50"/>
        <v>12978.357946270038</v>
      </c>
      <c r="S21" s="76">
        <f t="shared" si="50"/>
        <v>13789.505317911915</v>
      </c>
      <c r="T21" s="76">
        <f t="shared" si="50"/>
        <v>14600.652689553792</v>
      </c>
      <c r="U21" s="76">
        <f t="shared" si="50"/>
        <v>15411.800061195669</v>
      </c>
      <c r="V21" s="76">
        <f t="shared" si="50"/>
        <v>16222.947432837545</v>
      </c>
      <c r="W21" s="76">
        <f t="shared" si="50"/>
        <v>17034.094804479424</v>
      </c>
      <c r="X21" s="76">
        <f t="shared" si="50"/>
        <v>17845.242176121301</v>
      </c>
      <c r="Y21" s="76">
        <f t="shared" si="50"/>
        <v>18656.389547763178</v>
      </c>
      <c r="Z21" s="76">
        <f>Y21+Z20</f>
        <v>19467.536919405055</v>
      </c>
      <c r="AA21" s="76">
        <f>Z21+AA20</f>
        <v>20278.684291046931</v>
      </c>
      <c r="AB21" s="76">
        <f t="shared" si="50"/>
        <v>21089.831662688808</v>
      </c>
      <c r="AC21" s="76">
        <f t="shared" si="50"/>
        <v>21900.979034330685</v>
      </c>
      <c r="AD21" s="76">
        <f t="shared" si="50"/>
        <v>22712.126405972562</v>
      </c>
      <c r="AE21" s="76">
        <f t="shared" si="50"/>
        <v>23523.273777614439</v>
      </c>
      <c r="AF21" s="76">
        <f t="shared" si="50"/>
        <v>24334.421149256315</v>
      </c>
      <c r="AG21" s="76">
        <f t="shared" si="50"/>
        <v>25145.568520898192</v>
      </c>
      <c r="AN21" s="6"/>
      <c r="AO21" s="6"/>
      <c r="AP21" s="5"/>
    </row>
    <row r="22" spans="1:42" s="6" customFormat="1" ht="18.75" customHeight="1" thickBot="1" x14ac:dyDescent="0.3">
      <c r="A22" s="41" t="s">
        <v>22</v>
      </c>
      <c r="B22" s="45" t="s">
        <v>15</v>
      </c>
      <c r="C22" s="80">
        <v>622.11958537500004</v>
      </c>
      <c r="D22" s="80">
        <v>680.49577980000015</v>
      </c>
      <c r="E22" s="80">
        <v>375.122820375</v>
      </c>
      <c r="F22" s="80">
        <v>702.21911714999999</v>
      </c>
      <c r="G22" s="80">
        <v>1545.6886887749999</v>
      </c>
      <c r="H22" s="80">
        <v>626.6516102999999</v>
      </c>
      <c r="I22" s="80">
        <v>936.77883547500016</v>
      </c>
      <c r="J22" s="80">
        <v>767.28785490000007</v>
      </c>
      <c r="K22" s="80">
        <v>942.28890757500005</v>
      </c>
      <c r="L22" s="80">
        <v>701.5101970500001</v>
      </c>
      <c r="M22" s="80">
        <v>910.8104170500003</v>
      </c>
      <c r="N22" s="80">
        <v>694.78389562500001</v>
      </c>
      <c r="O22" s="80">
        <v>905.02309092500025</v>
      </c>
      <c r="P22" s="80">
        <v>728.51667705000011</v>
      </c>
      <c r="Q22" s="80">
        <v>895.99905067500026</v>
      </c>
      <c r="R22" s="80">
        <v>600.00802987500003</v>
      </c>
      <c r="S22" s="80">
        <v>887.02783560000012</v>
      </c>
      <c r="T22" s="80">
        <v>1045.8090589500005</v>
      </c>
      <c r="U22" s="80">
        <v>775.67674275000024</v>
      </c>
      <c r="V22" s="80">
        <v>712.63349100000016</v>
      </c>
      <c r="W22" s="80">
        <v>736.02785430000017</v>
      </c>
      <c r="X22" s="80">
        <v>893.00301930000023</v>
      </c>
      <c r="Y22" s="80">
        <v>958.41621470000052</v>
      </c>
      <c r="Z22" s="80">
        <v>1028.8087298500004</v>
      </c>
      <c r="AA22" s="80">
        <v>687.52590412500012</v>
      </c>
      <c r="AB22" s="80">
        <v>744.1551168750002</v>
      </c>
      <c r="AC22" s="80">
        <v>1119.7230440500007</v>
      </c>
      <c r="AD22" s="80">
        <v>886.74089175000029</v>
      </c>
      <c r="AE22" s="80">
        <v>907.75530900000047</v>
      </c>
      <c r="AF22" s="80">
        <v>5434.7755956750007</v>
      </c>
      <c r="AG22" s="80">
        <v>782.26801177499988</v>
      </c>
      <c r="AH22" s="6" t="s">
        <v>1</v>
      </c>
      <c r="AP22" s="5"/>
    </row>
    <row r="23" spans="1:42" s="8" customFormat="1" ht="18.75" customHeight="1" thickBot="1" x14ac:dyDescent="0.3">
      <c r="A23" s="38"/>
      <c r="B23" s="36" t="s">
        <v>17</v>
      </c>
      <c r="C23" s="77">
        <f>C22</f>
        <v>622.11958537500004</v>
      </c>
      <c r="D23" s="78">
        <f>C23+D22</f>
        <v>1302.6153651750001</v>
      </c>
      <c r="E23" s="78">
        <f t="shared" ref="E23:AE23" si="51">D23+E22</f>
        <v>1677.73818555</v>
      </c>
      <c r="F23" s="78">
        <f t="shared" si="51"/>
        <v>2379.9573027000001</v>
      </c>
      <c r="G23" s="78">
        <f t="shared" si="51"/>
        <v>3925.6459914750003</v>
      </c>
      <c r="H23" s="78">
        <f t="shared" si="51"/>
        <v>4552.2976017750007</v>
      </c>
      <c r="I23" s="78">
        <f t="shared" si="51"/>
        <v>5489.0764372500007</v>
      </c>
      <c r="J23" s="78">
        <f t="shared" si="51"/>
        <v>6256.3642921500004</v>
      </c>
      <c r="K23" s="78">
        <f t="shared" si="51"/>
        <v>7198.6531997250004</v>
      </c>
      <c r="L23" s="78">
        <f t="shared" ref="L23" si="52">K23+L22</f>
        <v>7900.1633967750004</v>
      </c>
      <c r="M23" s="78">
        <f t="shared" ref="M23" si="53">L23+M22</f>
        <v>8810.9738138250013</v>
      </c>
      <c r="N23" s="78">
        <f>M23+N22</f>
        <v>9505.7577094500011</v>
      </c>
      <c r="O23" s="78">
        <f t="shared" si="51"/>
        <v>10410.780800375001</v>
      </c>
      <c r="P23" s="78">
        <f t="shared" si="51"/>
        <v>11139.297477425001</v>
      </c>
      <c r="Q23" s="78">
        <f t="shared" si="51"/>
        <v>12035.296528100002</v>
      </c>
      <c r="R23" s="78">
        <f t="shared" si="51"/>
        <v>12635.304557975001</v>
      </c>
      <c r="S23" s="78">
        <f t="shared" si="51"/>
        <v>13522.332393575001</v>
      </c>
      <c r="T23" s="78">
        <f t="shared" si="51"/>
        <v>14568.141452525002</v>
      </c>
      <c r="U23" s="78">
        <f t="shared" si="51"/>
        <v>15343.818195275002</v>
      </c>
      <c r="V23" s="78">
        <f t="shared" ref="V23" si="54">U23+V22</f>
        <v>16056.451686275002</v>
      </c>
      <c r="W23" s="78">
        <f t="shared" ref="W23" si="55">V23+W22</f>
        <v>16792.479540575001</v>
      </c>
      <c r="X23" s="78">
        <f t="shared" si="51"/>
        <v>17685.482559875003</v>
      </c>
      <c r="Y23" s="78">
        <f t="shared" si="51"/>
        <v>18643.898774575002</v>
      </c>
      <c r="Z23" s="78">
        <f>Y23+Z22</f>
        <v>19672.707504425001</v>
      </c>
      <c r="AA23" s="78">
        <f>Z23+AA22</f>
        <v>20360.233408550001</v>
      </c>
      <c r="AB23" s="78">
        <f>AA23+AB22</f>
        <v>21104.388525425002</v>
      </c>
      <c r="AC23" s="78">
        <f>AB23+AC22</f>
        <v>22224.111569475004</v>
      </c>
      <c r="AD23" s="78">
        <f>AC23+AD22</f>
        <v>23110.852461225004</v>
      </c>
      <c r="AE23" s="78">
        <f t="shared" si="51"/>
        <v>24018.607770225004</v>
      </c>
      <c r="AF23" s="78">
        <f>AE23+AF22</f>
        <v>29453.383365900005</v>
      </c>
      <c r="AG23" s="78">
        <f>AF23+AG22</f>
        <v>30235.651377675003</v>
      </c>
      <c r="AH23" s="8">
        <f>+AG23*1000</f>
        <v>30235651.377675004</v>
      </c>
      <c r="AN23" s="6"/>
      <c r="AO23" s="6"/>
      <c r="AP23" s="5"/>
    </row>
    <row r="24" spans="1:42" s="5" customFormat="1" ht="18.75" customHeight="1" x14ac:dyDescent="0.25">
      <c r="A24" s="41"/>
      <c r="B24" s="47" t="s">
        <v>9</v>
      </c>
      <c r="C24" s="79">
        <f>$AK$88/31/1000</f>
        <v>0</v>
      </c>
      <c r="D24" s="79">
        <f t="shared" ref="D24:AG24" si="56">$AK$88/31/1000</f>
        <v>0</v>
      </c>
      <c r="E24" s="79">
        <f t="shared" si="56"/>
        <v>0</v>
      </c>
      <c r="F24" s="79">
        <f t="shared" si="56"/>
        <v>0</v>
      </c>
      <c r="G24" s="79">
        <f t="shared" si="56"/>
        <v>0</v>
      </c>
      <c r="H24" s="79">
        <f t="shared" si="56"/>
        <v>0</v>
      </c>
      <c r="I24" s="79">
        <f t="shared" si="56"/>
        <v>0</v>
      </c>
      <c r="J24" s="79">
        <f t="shared" si="56"/>
        <v>0</v>
      </c>
      <c r="K24" s="79">
        <f t="shared" si="56"/>
        <v>0</v>
      </c>
      <c r="L24" s="79">
        <f t="shared" si="56"/>
        <v>0</v>
      </c>
      <c r="M24" s="79">
        <f t="shared" si="56"/>
        <v>0</v>
      </c>
      <c r="N24" s="79">
        <f t="shared" si="56"/>
        <v>0</v>
      </c>
      <c r="O24" s="79">
        <f t="shared" si="56"/>
        <v>0</v>
      </c>
      <c r="P24" s="79">
        <f t="shared" si="56"/>
        <v>0</v>
      </c>
      <c r="Q24" s="79">
        <f t="shared" si="56"/>
        <v>0</v>
      </c>
      <c r="R24" s="79">
        <f t="shared" si="56"/>
        <v>0</v>
      </c>
      <c r="S24" s="79">
        <f t="shared" si="56"/>
        <v>0</v>
      </c>
      <c r="T24" s="79">
        <f t="shared" si="56"/>
        <v>0</v>
      </c>
      <c r="U24" s="79">
        <f t="shared" si="56"/>
        <v>0</v>
      </c>
      <c r="V24" s="79">
        <f t="shared" si="56"/>
        <v>0</v>
      </c>
      <c r="W24" s="79">
        <f t="shared" si="56"/>
        <v>0</v>
      </c>
      <c r="X24" s="79">
        <f t="shared" si="56"/>
        <v>0</v>
      </c>
      <c r="Y24" s="79">
        <f t="shared" si="56"/>
        <v>0</v>
      </c>
      <c r="Z24" s="79">
        <f t="shared" si="56"/>
        <v>0</v>
      </c>
      <c r="AA24" s="79">
        <f t="shared" si="56"/>
        <v>0</v>
      </c>
      <c r="AB24" s="79">
        <f t="shared" si="56"/>
        <v>0</v>
      </c>
      <c r="AC24" s="79">
        <f t="shared" si="56"/>
        <v>0</v>
      </c>
      <c r="AD24" s="79">
        <f t="shared" si="56"/>
        <v>0</v>
      </c>
      <c r="AE24" s="79">
        <f t="shared" si="56"/>
        <v>0</v>
      </c>
      <c r="AF24" s="79">
        <f t="shared" si="56"/>
        <v>0</v>
      </c>
      <c r="AG24" s="79">
        <f t="shared" si="56"/>
        <v>0</v>
      </c>
      <c r="AN24" s="6"/>
      <c r="AO24" s="6"/>
    </row>
    <row r="25" spans="1:42" s="7" customFormat="1" ht="18.75" customHeight="1" x14ac:dyDescent="0.25">
      <c r="A25" s="41" t="s">
        <v>18</v>
      </c>
      <c r="B25" s="44" t="s">
        <v>13</v>
      </c>
      <c r="C25" s="75">
        <f>+C24</f>
        <v>0</v>
      </c>
      <c r="D25" s="76">
        <f>C25+D24</f>
        <v>0</v>
      </c>
      <c r="E25" s="76">
        <f t="shared" ref="E25:AG25" si="57">D25+E24</f>
        <v>0</v>
      </c>
      <c r="F25" s="76">
        <f t="shared" si="57"/>
        <v>0</v>
      </c>
      <c r="G25" s="76">
        <f t="shared" si="57"/>
        <v>0</v>
      </c>
      <c r="H25" s="76">
        <f t="shared" si="57"/>
        <v>0</v>
      </c>
      <c r="I25" s="76">
        <f t="shared" si="57"/>
        <v>0</v>
      </c>
      <c r="J25" s="76">
        <f t="shared" si="57"/>
        <v>0</v>
      </c>
      <c r="K25" s="76">
        <f t="shared" si="57"/>
        <v>0</v>
      </c>
      <c r="L25" s="76">
        <f t="shared" si="57"/>
        <v>0</v>
      </c>
      <c r="M25" s="76">
        <f t="shared" si="57"/>
        <v>0</v>
      </c>
      <c r="N25" s="76">
        <f t="shared" si="57"/>
        <v>0</v>
      </c>
      <c r="O25" s="76">
        <f t="shared" si="57"/>
        <v>0</v>
      </c>
      <c r="P25" s="76">
        <f>O25+P24</f>
        <v>0</v>
      </c>
      <c r="Q25" s="76">
        <f t="shared" si="57"/>
        <v>0</v>
      </c>
      <c r="R25" s="76">
        <f t="shared" si="57"/>
        <v>0</v>
      </c>
      <c r="S25" s="76">
        <f t="shared" si="57"/>
        <v>0</v>
      </c>
      <c r="T25" s="76">
        <f t="shared" si="57"/>
        <v>0</v>
      </c>
      <c r="U25" s="76">
        <f t="shared" si="57"/>
        <v>0</v>
      </c>
      <c r="V25" s="76">
        <f t="shared" si="57"/>
        <v>0</v>
      </c>
      <c r="W25" s="76">
        <f t="shared" si="57"/>
        <v>0</v>
      </c>
      <c r="X25" s="76">
        <f t="shared" si="57"/>
        <v>0</v>
      </c>
      <c r="Y25" s="76">
        <f t="shared" si="57"/>
        <v>0</v>
      </c>
      <c r="Z25" s="76">
        <f>Y25+Z24</f>
        <v>0</v>
      </c>
      <c r="AA25" s="76">
        <f>Z25+AA24</f>
        <v>0</v>
      </c>
      <c r="AB25" s="76">
        <f t="shared" si="57"/>
        <v>0</v>
      </c>
      <c r="AC25" s="76">
        <f t="shared" si="57"/>
        <v>0</v>
      </c>
      <c r="AD25" s="76">
        <f t="shared" si="57"/>
        <v>0</v>
      </c>
      <c r="AE25" s="76">
        <f t="shared" si="57"/>
        <v>0</v>
      </c>
      <c r="AF25" s="76">
        <f t="shared" si="57"/>
        <v>0</v>
      </c>
      <c r="AG25" s="76">
        <f t="shared" si="57"/>
        <v>0</v>
      </c>
      <c r="AN25" s="6"/>
      <c r="AO25" s="6"/>
      <c r="AP25" s="5"/>
    </row>
    <row r="26" spans="1:42" s="6" customFormat="1" ht="18.75" customHeight="1" thickBot="1" x14ac:dyDescent="0.3">
      <c r="A26" s="41"/>
      <c r="B26" s="45" t="s">
        <v>15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147.76867999999999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147.76867999999999</v>
      </c>
      <c r="S26" s="80">
        <v>0</v>
      </c>
      <c r="T26" s="80">
        <v>0</v>
      </c>
      <c r="U26" s="80">
        <v>0</v>
      </c>
      <c r="V26" s="80">
        <v>147.76867999999999</v>
      </c>
      <c r="W26" s="80">
        <v>0</v>
      </c>
      <c r="X26" s="80">
        <v>0</v>
      </c>
      <c r="Y26" s="80">
        <v>0</v>
      </c>
      <c r="Z26" s="80">
        <v>0</v>
      </c>
      <c r="AA26" s="80">
        <v>130.38413</v>
      </c>
      <c r="AB26" s="80">
        <v>0</v>
      </c>
      <c r="AC26" s="80">
        <v>0</v>
      </c>
      <c r="AD26" s="80">
        <v>0</v>
      </c>
      <c r="AE26" s="80">
        <v>0</v>
      </c>
      <c r="AF26" s="80">
        <v>0</v>
      </c>
      <c r="AG26" s="80">
        <v>0</v>
      </c>
      <c r="AP26" s="5"/>
    </row>
    <row r="27" spans="1:42" s="8" customFormat="1" ht="18.75" customHeight="1" thickBot="1" x14ac:dyDescent="0.3">
      <c r="A27" s="38"/>
      <c r="B27" s="36" t="s">
        <v>17</v>
      </c>
      <c r="C27" s="77">
        <f>C26</f>
        <v>0</v>
      </c>
      <c r="D27" s="78">
        <f t="shared" ref="D27:AG27" si="58">C27+D26</f>
        <v>0</v>
      </c>
      <c r="E27" s="78">
        <f t="shared" si="58"/>
        <v>0</v>
      </c>
      <c r="F27" s="78">
        <f t="shared" si="58"/>
        <v>0</v>
      </c>
      <c r="G27" s="78">
        <f t="shared" si="58"/>
        <v>0</v>
      </c>
      <c r="H27" s="78">
        <f t="shared" si="58"/>
        <v>0</v>
      </c>
      <c r="I27" s="78">
        <f t="shared" si="58"/>
        <v>0</v>
      </c>
      <c r="J27" s="78">
        <f t="shared" si="58"/>
        <v>0</v>
      </c>
      <c r="K27" s="78">
        <f t="shared" si="58"/>
        <v>0</v>
      </c>
      <c r="L27" s="78">
        <f t="shared" si="58"/>
        <v>147.76867999999999</v>
      </c>
      <c r="M27" s="78">
        <f t="shared" si="58"/>
        <v>147.76867999999999</v>
      </c>
      <c r="N27" s="78">
        <f t="shared" si="58"/>
        <v>147.76867999999999</v>
      </c>
      <c r="O27" s="78">
        <f t="shared" si="58"/>
        <v>147.76867999999999</v>
      </c>
      <c r="P27" s="78">
        <f t="shared" si="58"/>
        <v>147.76867999999999</v>
      </c>
      <c r="Q27" s="78">
        <f t="shared" si="58"/>
        <v>147.76867999999999</v>
      </c>
      <c r="R27" s="78">
        <f t="shared" si="58"/>
        <v>295.53735999999998</v>
      </c>
      <c r="S27" s="78">
        <f t="shared" si="58"/>
        <v>295.53735999999998</v>
      </c>
      <c r="T27" s="78">
        <f t="shared" si="58"/>
        <v>295.53735999999998</v>
      </c>
      <c r="U27" s="78">
        <f t="shared" si="58"/>
        <v>295.53735999999998</v>
      </c>
      <c r="V27" s="78">
        <f t="shared" si="58"/>
        <v>443.30603999999994</v>
      </c>
      <c r="W27" s="78">
        <f t="shared" si="58"/>
        <v>443.30603999999994</v>
      </c>
      <c r="X27" s="78">
        <f t="shared" si="58"/>
        <v>443.30603999999994</v>
      </c>
      <c r="Y27" s="78">
        <f t="shared" si="58"/>
        <v>443.30603999999994</v>
      </c>
      <c r="Z27" s="78">
        <f>Y27+Z26</f>
        <v>443.30603999999994</v>
      </c>
      <c r="AA27" s="78">
        <f>Z27+AA26</f>
        <v>573.69016999999997</v>
      </c>
      <c r="AB27" s="78">
        <f t="shared" si="58"/>
        <v>573.69016999999997</v>
      </c>
      <c r="AC27" s="78">
        <f t="shared" si="58"/>
        <v>573.69016999999997</v>
      </c>
      <c r="AD27" s="78">
        <f t="shared" si="58"/>
        <v>573.69016999999997</v>
      </c>
      <c r="AE27" s="78">
        <f t="shared" si="58"/>
        <v>573.69016999999997</v>
      </c>
      <c r="AF27" s="78">
        <f t="shared" si="58"/>
        <v>573.69016999999997</v>
      </c>
      <c r="AG27" s="78">
        <f t="shared" si="58"/>
        <v>573.69016999999997</v>
      </c>
      <c r="AH27" s="8">
        <f>+AG27*1000</f>
        <v>573690.16999999993</v>
      </c>
      <c r="AN27" s="6"/>
      <c r="AO27" s="6"/>
      <c r="AP27" s="5"/>
    </row>
    <row r="28" spans="1:42" s="5" customFormat="1" ht="18.75" customHeight="1" x14ac:dyDescent="0.25">
      <c r="A28" s="43"/>
      <c r="B28" s="46" t="s">
        <v>9</v>
      </c>
      <c r="C28" s="79">
        <f>$AK$94/31/1000</f>
        <v>35.484241935483873</v>
      </c>
      <c r="D28" s="79">
        <f t="shared" ref="D28:AG28" si="59">$AK$94/31/1000</f>
        <v>35.484241935483873</v>
      </c>
      <c r="E28" s="79">
        <f t="shared" si="59"/>
        <v>35.484241935483873</v>
      </c>
      <c r="F28" s="79">
        <f t="shared" si="59"/>
        <v>35.484241935483873</v>
      </c>
      <c r="G28" s="79">
        <f t="shared" si="59"/>
        <v>35.484241935483873</v>
      </c>
      <c r="H28" s="79">
        <f t="shared" si="59"/>
        <v>35.484241935483873</v>
      </c>
      <c r="I28" s="79">
        <f t="shared" si="59"/>
        <v>35.484241935483873</v>
      </c>
      <c r="J28" s="79">
        <f t="shared" si="59"/>
        <v>35.484241935483873</v>
      </c>
      <c r="K28" s="79">
        <f t="shared" si="59"/>
        <v>35.484241935483873</v>
      </c>
      <c r="L28" s="79">
        <f t="shared" si="59"/>
        <v>35.484241935483873</v>
      </c>
      <c r="M28" s="79">
        <f t="shared" si="59"/>
        <v>35.484241935483873</v>
      </c>
      <c r="N28" s="79">
        <f t="shared" si="59"/>
        <v>35.484241935483873</v>
      </c>
      <c r="O28" s="79">
        <f t="shared" si="59"/>
        <v>35.484241935483873</v>
      </c>
      <c r="P28" s="79">
        <f t="shared" si="59"/>
        <v>35.484241935483873</v>
      </c>
      <c r="Q28" s="79">
        <f t="shared" si="59"/>
        <v>35.484241935483873</v>
      </c>
      <c r="R28" s="79">
        <f t="shared" si="59"/>
        <v>35.484241935483873</v>
      </c>
      <c r="S28" s="79">
        <f t="shared" si="59"/>
        <v>35.484241935483873</v>
      </c>
      <c r="T28" s="79">
        <f t="shared" si="59"/>
        <v>35.484241935483873</v>
      </c>
      <c r="U28" s="79">
        <f t="shared" si="59"/>
        <v>35.484241935483873</v>
      </c>
      <c r="V28" s="79">
        <f t="shared" si="59"/>
        <v>35.484241935483873</v>
      </c>
      <c r="W28" s="79">
        <f t="shared" si="59"/>
        <v>35.484241935483873</v>
      </c>
      <c r="X28" s="79">
        <f t="shared" si="59"/>
        <v>35.484241935483873</v>
      </c>
      <c r="Y28" s="79">
        <f t="shared" si="59"/>
        <v>35.484241935483873</v>
      </c>
      <c r="Z28" s="79">
        <f t="shared" si="59"/>
        <v>35.484241935483873</v>
      </c>
      <c r="AA28" s="79">
        <f t="shared" si="59"/>
        <v>35.484241935483873</v>
      </c>
      <c r="AB28" s="79">
        <f t="shared" si="59"/>
        <v>35.484241935483873</v>
      </c>
      <c r="AC28" s="79">
        <f t="shared" si="59"/>
        <v>35.484241935483873</v>
      </c>
      <c r="AD28" s="79">
        <f t="shared" si="59"/>
        <v>35.484241935483873</v>
      </c>
      <c r="AE28" s="79">
        <f t="shared" si="59"/>
        <v>35.484241935483873</v>
      </c>
      <c r="AF28" s="79">
        <f t="shared" si="59"/>
        <v>35.484241935483873</v>
      </c>
      <c r="AG28" s="79">
        <f t="shared" si="59"/>
        <v>35.484241935483873</v>
      </c>
      <c r="AN28" s="6"/>
      <c r="AO28" s="6"/>
    </row>
    <row r="29" spans="1:42" s="7" customFormat="1" ht="18.75" customHeight="1" x14ac:dyDescent="0.25">
      <c r="A29" s="41" t="s">
        <v>26</v>
      </c>
      <c r="B29" s="44" t="s">
        <v>13</v>
      </c>
      <c r="C29" s="75">
        <f>+C28</f>
        <v>35.484241935483873</v>
      </c>
      <c r="D29" s="76">
        <f t="shared" ref="D29:AG29" si="60">C29+D28</f>
        <v>70.968483870967745</v>
      </c>
      <c r="E29" s="76">
        <f t="shared" si="60"/>
        <v>106.45272580645161</v>
      </c>
      <c r="F29" s="76">
        <f t="shared" si="60"/>
        <v>141.93696774193549</v>
      </c>
      <c r="G29" s="76">
        <f t="shared" si="60"/>
        <v>177.42120967741937</v>
      </c>
      <c r="H29" s="76">
        <f t="shared" si="60"/>
        <v>212.90545161290325</v>
      </c>
      <c r="I29" s="76">
        <f t="shared" si="60"/>
        <v>248.38969354838713</v>
      </c>
      <c r="J29" s="76">
        <f t="shared" si="60"/>
        <v>283.87393548387098</v>
      </c>
      <c r="K29" s="76">
        <f t="shared" si="60"/>
        <v>319.35817741935483</v>
      </c>
      <c r="L29" s="76">
        <f t="shared" si="60"/>
        <v>354.84241935483868</v>
      </c>
      <c r="M29" s="76">
        <f t="shared" si="60"/>
        <v>390.32666129032253</v>
      </c>
      <c r="N29" s="76">
        <f t="shared" si="60"/>
        <v>425.81090322580638</v>
      </c>
      <c r="O29" s="76">
        <f t="shared" si="60"/>
        <v>461.29514516129024</v>
      </c>
      <c r="P29" s="76">
        <f t="shared" si="60"/>
        <v>496.77938709677409</v>
      </c>
      <c r="Q29" s="76">
        <f t="shared" si="60"/>
        <v>532.263629032258</v>
      </c>
      <c r="R29" s="76">
        <f t="shared" si="60"/>
        <v>567.74787096774185</v>
      </c>
      <c r="S29" s="76">
        <f t="shared" si="60"/>
        <v>603.2321129032257</v>
      </c>
      <c r="T29" s="76">
        <f t="shared" si="60"/>
        <v>638.71635483870955</v>
      </c>
      <c r="U29" s="76">
        <f t="shared" si="60"/>
        <v>674.2005967741934</v>
      </c>
      <c r="V29" s="76">
        <f t="shared" si="60"/>
        <v>709.68483870967725</v>
      </c>
      <c r="W29" s="76">
        <f t="shared" si="60"/>
        <v>745.1690806451611</v>
      </c>
      <c r="X29" s="76">
        <f t="shared" si="60"/>
        <v>780.65332258064495</v>
      </c>
      <c r="Y29" s="76">
        <f t="shared" si="60"/>
        <v>816.1375645161288</v>
      </c>
      <c r="Z29" s="76">
        <f>Y29+Z28</f>
        <v>851.62180645161266</v>
      </c>
      <c r="AA29" s="76">
        <f>Z29+AA28</f>
        <v>887.10604838709651</v>
      </c>
      <c r="AB29" s="76">
        <f t="shared" si="60"/>
        <v>922.59029032258036</v>
      </c>
      <c r="AC29" s="76">
        <f t="shared" si="60"/>
        <v>958.07453225806421</v>
      </c>
      <c r="AD29" s="76">
        <f t="shared" si="60"/>
        <v>993.55877419354806</v>
      </c>
      <c r="AE29" s="76">
        <f t="shared" si="60"/>
        <v>1029.0430161290319</v>
      </c>
      <c r="AF29" s="76">
        <f t="shared" si="60"/>
        <v>1064.5272580645158</v>
      </c>
      <c r="AG29" s="76">
        <f t="shared" si="60"/>
        <v>1100.0114999999996</v>
      </c>
      <c r="AN29" s="6"/>
      <c r="AO29" s="6"/>
      <c r="AP29" s="5"/>
    </row>
    <row r="30" spans="1:42" s="6" customFormat="1" ht="18.75" customHeight="1" thickBot="1" x14ac:dyDescent="0.3">
      <c r="A30" s="41"/>
      <c r="B30" s="45" t="s">
        <v>15</v>
      </c>
      <c r="C30" s="80">
        <v>0</v>
      </c>
      <c r="D30" s="80">
        <v>0</v>
      </c>
      <c r="E30" s="80">
        <v>0</v>
      </c>
      <c r="F30" s="80">
        <f>90.3105</f>
        <v>90.310500000000005</v>
      </c>
      <c r="G30" s="80">
        <f>103.635</f>
        <v>103.63500000000001</v>
      </c>
      <c r="H30" s="80">
        <f>90.3105</f>
        <v>90.310500000000005</v>
      </c>
      <c r="I30" s="80">
        <v>0</v>
      </c>
      <c r="J30" s="80">
        <v>0</v>
      </c>
      <c r="K30" s="80">
        <f>103.635</f>
        <v>103.63500000000001</v>
      </c>
      <c r="L30" s="80">
        <f>103.635</f>
        <v>103.63500000000001</v>
      </c>
      <c r="M30" s="80">
        <f>103.635</f>
        <v>103.63500000000001</v>
      </c>
      <c r="N30" s="80">
        <f>90.3105</f>
        <v>90.310500000000005</v>
      </c>
      <c r="O30" s="80">
        <v>0</v>
      </c>
      <c r="P30" s="80">
        <v>0</v>
      </c>
      <c r="Q30" s="80">
        <v>0</v>
      </c>
      <c r="R30" s="80">
        <f>103.635</f>
        <v>103.63500000000001</v>
      </c>
      <c r="S30" s="80">
        <f>103.635</f>
        <v>103.63500000000001</v>
      </c>
      <c r="T30" s="80">
        <f>103.635</f>
        <v>103.63500000000001</v>
      </c>
      <c r="U30" s="80">
        <f>103.635</f>
        <v>103.63500000000001</v>
      </c>
      <c r="V30" s="80">
        <v>0</v>
      </c>
      <c r="W30" s="80">
        <v>0</v>
      </c>
      <c r="X30" s="80">
        <v>0</v>
      </c>
      <c r="Y30" s="80">
        <v>0</v>
      </c>
      <c r="Z30" s="80">
        <v>0</v>
      </c>
      <c r="AA30" s="80">
        <v>0</v>
      </c>
      <c r="AB30" s="80">
        <v>0</v>
      </c>
      <c r="AC30" s="80">
        <v>0</v>
      </c>
      <c r="AD30" s="80">
        <v>0</v>
      </c>
      <c r="AE30" s="80">
        <v>0</v>
      </c>
      <c r="AF30" s="80">
        <v>0</v>
      </c>
      <c r="AG30" s="80">
        <v>0</v>
      </c>
      <c r="AP30" s="5"/>
    </row>
    <row r="31" spans="1:42" s="8" customFormat="1" ht="18.75" customHeight="1" thickBot="1" x14ac:dyDescent="0.3">
      <c r="A31" s="38"/>
      <c r="B31" s="36" t="s">
        <v>17</v>
      </c>
      <c r="C31" s="77">
        <f>C30</f>
        <v>0</v>
      </c>
      <c r="D31" s="78">
        <f t="shared" ref="D31:AG31" si="61">C31+D30</f>
        <v>0</v>
      </c>
      <c r="E31" s="78">
        <f t="shared" si="61"/>
        <v>0</v>
      </c>
      <c r="F31" s="78">
        <f t="shared" si="61"/>
        <v>90.310500000000005</v>
      </c>
      <c r="G31" s="78">
        <f t="shared" si="61"/>
        <v>193.94550000000001</v>
      </c>
      <c r="H31" s="78">
        <f t="shared" si="61"/>
        <v>284.25600000000003</v>
      </c>
      <c r="I31" s="78">
        <f t="shared" si="61"/>
        <v>284.25600000000003</v>
      </c>
      <c r="J31" s="78">
        <f>I31+J30</f>
        <v>284.25600000000003</v>
      </c>
      <c r="K31" s="78">
        <f t="shared" si="61"/>
        <v>387.89100000000002</v>
      </c>
      <c r="L31" s="78">
        <f t="shared" si="61"/>
        <v>491.52600000000001</v>
      </c>
      <c r="M31" s="78">
        <f t="shared" si="61"/>
        <v>595.16100000000006</v>
      </c>
      <c r="N31" s="78">
        <f t="shared" si="61"/>
        <v>685.47150000000011</v>
      </c>
      <c r="O31" s="78">
        <f t="shared" si="61"/>
        <v>685.47150000000011</v>
      </c>
      <c r="P31" s="78">
        <f t="shared" si="61"/>
        <v>685.47150000000011</v>
      </c>
      <c r="Q31" s="78">
        <f t="shared" si="61"/>
        <v>685.47150000000011</v>
      </c>
      <c r="R31" s="78">
        <f t="shared" si="61"/>
        <v>789.1065000000001</v>
      </c>
      <c r="S31" s="78">
        <f t="shared" si="61"/>
        <v>892.74150000000009</v>
      </c>
      <c r="T31" s="78">
        <f t="shared" si="61"/>
        <v>996.37650000000008</v>
      </c>
      <c r="U31" s="78">
        <f t="shared" si="61"/>
        <v>1100.0115000000001</v>
      </c>
      <c r="V31" s="78">
        <f t="shared" si="61"/>
        <v>1100.0115000000001</v>
      </c>
      <c r="W31" s="78">
        <f t="shared" si="61"/>
        <v>1100.0115000000001</v>
      </c>
      <c r="X31" s="78">
        <f t="shared" si="61"/>
        <v>1100.0115000000001</v>
      </c>
      <c r="Y31" s="78">
        <f t="shared" si="61"/>
        <v>1100.0115000000001</v>
      </c>
      <c r="Z31" s="78">
        <f>Y31+Z30</f>
        <v>1100.0115000000001</v>
      </c>
      <c r="AA31" s="78">
        <f>Z31+AA30</f>
        <v>1100.0115000000001</v>
      </c>
      <c r="AB31" s="78">
        <f t="shared" si="61"/>
        <v>1100.0115000000001</v>
      </c>
      <c r="AC31" s="78">
        <f t="shared" si="61"/>
        <v>1100.0115000000001</v>
      </c>
      <c r="AD31" s="78">
        <f t="shared" si="61"/>
        <v>1100.0115000000001</v>
      </c>
      <c r="AE31" s="78">
        <f t="shared" si="61"/>
        <v>1100.0115000000001</v>
      </c>
      <c r="AF31" s="78">
        <f t="shared" si="61"/>
        <v>1100.0115000000001</v>
      </c>
      <c r="AG31" s="78">
        <f t="shared" si="61"/>
        <v>1100.0115000000001</v>
      </c>
      <c r="AH31" s="8">
        <f>+AG31*1000</f>
        <v>1100011.5</v>
      </c>
      <c r="AN31" s="6"/>
      <c r="AO31" s="6"/>
      <c r="AP31" s="5"/>
    </row>
    <row r="32" spans="1:42" s="5" customFormat="1" ht="18.75" customHeight="1" x14ac:dyDescent="0.25">
      <c r="A32" s="41"/>
      <c r="B32" s="47" t="s">
        <v>9</v>
      </c>
      <c r="C32" s="79">
        <f>$AK$90/31/1000</f>
        <v>4.649090838709677</v>
      </c>
      <c r="D32" s="79">
        <f t="shared" ref="D32:AG32" si="62">$AK$90/31/1000</f>
        <v>4.649090838709677</v>
      </c>
      <c r="E32" s="79">
        <f t="shared" si="62"/>
        <v>4.649090838709677</v>
      </c>
      <c r="F32" s="79">
        <f t="shared" si="62"/>
        <v>4.649090838709677</v>
      </c>
      <c r="G32" s="79">
        <f t="shared" si="62"/>
        <v>4.649090838709677</v>
      </c>
      <c r="H32" s="79">
        <f t="shared" si="62"/>
        <v>4.649090838709677</v>
      </c>
      <c r="I32" s="79">
        <f t="shared" si="62"/>
        <v>4.649090838709677</v>
      </c>
      <c r="J32" s="79">
        <f t="shared" si="62"/>
        <v>4.649090838709677</v>
      </c>
      <c r="K32" s="79">
        <f t="shared" si="62"/>
        <v>4.649090838709677</v>
      </c>
      <c r="L32" s="79">
        <f t="shared" si="62"/>
        <v>4.649090838709677</v>
      </c>
      <c r="M32" s="79">
        <f t="shared" si="62"/>
        <v>4.649090838709677</v>
      </c>
      <c r="N32" s="79">
        <f t="shared" si="62"/>
        <v>4.649090838709677</v>
      </c>
      <c r="O32" s="79">
        <f t="shared" si="62"/>
        <v>4.649090838709677</v>
      </c>
      <c r="P32" s="79">
        <f t="shared" si="62"/>
        <v>4.649090838709677</v>
      </c>
      <c r="Q32" s="79">
        <f t="shared" si="62"/>
        <v>4.649090838709677</v>
      </c>
      <c r="R32" s="79">
        <f t="shared" si="62"/>
        <v>4.649090838709677</v>
      </c>
      <c r="S32" s="79">
        <f t="shared" si="62"/>
        <v>4.649090838709677</v>
      </c>
      <c r="T32" s="79">
        <f t="shared" si="62"/>
        <v>4.649090838709677</v>
      </c>
      <c r="U32" s="79">
        <f t="shared" si="62"/>
        <v>4.649090838709677</v>
      </c>
      <c r="V32" s="79">
        <f t="shared" si="62"/>
        <v>4.649090838709677</v>
      </c>
      <c r="W32" s="79">
        <f t="shared" si="62"/>
        <v>4.649090838709677</v>
      </c>
      <c r="X32" s="79">
        <f t="shared" si="62"/>
        <v>4.649090838709677</v>
      </c>
      <c r="Y32" s="79">
        <f t="shared" si="62"/>
        <v>4.649090838709677</v>
      </c>
      <c r="Z32" s="79">
        <f t="shared" si="62"/>
        <v>4.649090838709677</v>
      </c>
      <c r="AA32" s="79">
        <f t="shared" si="62"/>
        <v>4.649090838709677</v>
      </c>
      <c r="AB32" s="79">
        <f t="shared" si="62"/>
        <v>4.649090838709677</v>
      </c>
      <c r="AC32" s="79">
        <f t="shared" si="62"/>
        <v>4.649090838709677</v>
      </c>
      <c r="AD32" s="79">
        <f t="shared" si="62"/>
        <v>4.649090838709677</v>
      </c>
      <c r="AE32" s="79">
        <f t="shared" si="62"/>
        <v>4.649090838709677</v>
      </c>
      <c r="AF32" s="79">
        <f t="shared" si="62"/>
        <v>4.649090838709677</v>
      </c>
      <c r="AG32" s="79">
        <f t="shared" si="62"/>
        <v>4.649090838709677</v>
      </c>
      <c r="AN32" s="6"/>
      <c r="AO32" s="6"/>
    </row>
    <row r="33" spans="1:41" s="7" customFormat="1" ht="18.75" customHeight="1" x14ac:dyDescent="0.25">
      <c r="A33" s="41" t="s">
        <v>21</v>
      </c>
      <c r="B33" s="44" t="s">
        <v>13</v>
      </c>
      <c r="C33" s="75">
        <f>+C32</f>
        <v>4.649090838709677</v>
      </c>
      <c r="D33" s="76">
        <f t="shared" ref="D33:AG33" si="63">C33+D32</f>
        <v>9.298181677419354</v>
      </c>
      <c r="E33" s="76">
        <f t="shared" si="63"/>
        <v>13.947272516129031</v>
      </c>
      <c r="F33" s="76">
        <f t="shared" si="63"/>
        <v>18.596363354838708</v>
      </c>
      <c r="G33" s="76">
        <f t="shared" si="63"/>
        <v>23.245454193548383</v>
      </c>
      <c r="H33" s="76">
        <f t="shared" si="63"/>
        <v>27.894545032258058</v>
      </c>
      <c r="I33" s="76">
        <f t="shared" si="63"/>
        <v>32.543635870967734</v>
      </c>
      <c r="J33" s="76">
        <f t="shared" si="63"/>
        <v>37.192726709677409</v>
      </c>
      <c r="K33" s="76">
        <f t="shared" si="63"/>
        <v>41.841817548387084</v>
      </c>
      <c r="L33" s="76">
        <f t="shared" si="63"/>
        <v>46.490908387096759</v>
      </c>
      <c r="M33" s="76">
        <f t="shared" si="63"/>
        <v>51.139999225806434</v>
      </c>
      <c r="N33" s="76">
        <f t="shared" si="63"/>
        <v>55.78909006451611</v>
      </c>
      <c r="O33" s="76">
        <f t="shared" si="63"/>
        <v>60.438180903225785</v>
      </c>
      <c r="P33" s="76">
        <f t="shared" si="63"/>
        <v>65.087271741935467</v>
      </c>
      <c r="Q33" s="76">
        <f t="shared" si="63"/>
        <v>69.736362580645149</v>
      </c>
      <c r="R33" s="76">
        <f t="shared" si="63"/>
        <v>74.385453419354832</v>
      </c>
      <c r="S33" s="76">
        <f t="shared" si="63"/>
        <v>79.034544258064514</v>
      </c>
      <c r="T33" s="76">
        <f t="shared" si="63"/>
        <v>83.683635096774196</v>
      </c>
      <c r="U33" s="76">
        <f t="shared" si="63"/>
        <v>88.332725935483879</v>
      </c>
      <c r="V33" s="76">
        <f t="shared" si="63"/>
        <v>92.981816774193561</v>
      </c>
      <c r="W33" s="76">
        <f t="shared" si="63"/>
        <v>97.630907612903243</v>
      </c>
      <c r="X33" s="76">
        <f t="shared" si="63"/>
        <v>102.27999845161293</v>
      </c>
      <c r="Y33" s="76">
        <f t="shared" si="63"/>
        <v>106.92908929032261</v>
      </c>
      <c r="Z33" s="76">
        <f>Y33+Z32</f>
        <v>111.57818012903229</v>
      </c>
      <c r="AA33" s="76">
        <f>Z33+AA32</f>
        <v>116.22727096774197</v>
      </c>
      <c r="AB33" s="76">
        <f t="shared" si="63"/>
        <v>120.87636180645165</v>
      </c>
      <c r="AC33" s="76">
        <f t="shared" si="63"/>
        <v>125.52545264516134</v>
      </c>
      <c r="AD33" s="76">
        <f t="shared" si="63"/>
        <v>130.17454348387102</v>
      </c>
      <c r="AE33" s="76">
        <f t="shared" si="63"/>
        <v>134.82363432258069</v>
      </c>
      <c r="AF33" s="76">
        <f t="shared" si="63"/>
        <v>139.47272516129036</v>
      </c>
      <c r="AG33" s="76">
        <f t="shared" si="63"/>
        <v>144.12181600000002</v>
      </c>
      <c r="AI33" s="6"/>
      <c r="AJ33" s="35"/>
      <c r="AK33" s="6"/>
      <c r="AL33" s="6"/>
      <c r="AM33" s="6"/>
      <c r="AN33" s="6"/>
      <c r="AO33" s="6"/>
    </row>
    <row r="34" spans="1:41" s="6" customFormat="1" ht="18.75" customHeight="1" thickBot="1" x14ac:dyDescent="0.3">
      <c r="A34" s="41"/>
      <c r="B34" s="45" t="s">
        <v>15</v>
      </c>
      <c r="C34" s="80">
        <v>0</v>
      </c>
      <c r="D34" s="80">
        <v>0</v>
      </c>
      <c r="E34" s="80">
        <v>0</v>
      </c>
      <c r="F34" s="80">
        <f>5.953+19</f>
        <v>24.952999999999999</v>
      </c>
      <c r="G34" s="80">
        <v>0</v>
      </c>
      <c r="H34" s="80">
        <v>0</v>
      </c>
      <c r="I34" s="80">
        <v>0</v>
      </c>
      <c r="J34" s="80">
        <v>0</v>
      </c>
      <c r="K34" s="80">
        <f>4.5927+3.0697+35.91</f>
        <v>43.572399999999995</v>
      </c>
      <c r="L34" s="80">
        <v>0</v>
      </c>
      <c r="M34" s="80">
        <v>0</v>
      </c>
      <c r="N34" s="80">
        <v>0</v>
      </c>
      <c r="O34" s="80">
        <v>0</v>
      </c>
      <c r="P34" s="80">
        <v>0</v>
      </c>
      <c r="Q34" s="80">
        <v>0</v>
      </c>
      <c r="R34" s="80">
        <f>2.77+0.23432+35.91+2.3328+2.9904</f>
        <v>44.237519999999996</v>
      </c>
      <c r="S34" s="80">
        <v>0</v>
      </c>
      <c r="T34" s="80">
        <v>0</v>
      </c>
      <c r="U34" s="80">
        <v>0</v>
      </c>
      <c r="V34" s="80">
        <v>0</v>
      </c>
      <c r="W34" s="80">
        <v>0</v>
      </c>
      <c r="X34" s="80">
        <v>0</v>
      </c>
      <c r="Y34" s="80">
        <f>45.36+3.105+1.93464</f>
        <v>50.399639999999998</v>
      </c>
      <c r="Z34" s="80">
        <v>0</v>
      </c>
      <c r="AA34" s="80">
        <v>0</v>
      </c>
      <c r="AB34" s="80">
        <v>0</v>
      </c>
      <c r="AC34" s="80">
        <v>0</v>
      </c>
      <c r="AD34" s="80">
        <v>0</v>
      </c>
      <c r="AE34" s="80">
        <v>0</v>
      </c>
      <c r="AF34" s="80">
        <f>9.3768+5.54+3.069+7.56+3.105</f>
        <v>28.650799999999997</v>
      </c>
      <c r="AG34" s="80">
        <v>0</v>
      </c>
      <c r="AI34" s="6" t="s">
        <v>65</v>
      </c>
      <c r="AJ34" s="35"/>
    </row>
    <row r="35" spans="1:41" s="8" customFormat="1" ht="18.75" customHeight="1" thickBot="1" x14ac:dyDescent="0.3">
      <c r="A35" s="38"/>
      <c r="B35" s="36" t="s">
        <v>17</v>
      </c>
      <c r="C35" s="77">
        <f>C34</f>
        <v>0</v>
      </c>
      <c r="D35" s="78">
        <f t="shared" ref="D35:R35" si="64">C35+D34</f>
        <v>0</v>
      </c>
      <c r="E35" s="78">
        <f t="shared" si="64"/>
        <v>0</v>
      </c>
      <c r="F35" s="78">
        <f t="shared" si="64"/>
        <v>24.952999999999999</v>
      </c>
      <c r="G35" s="78">
        <f t="shared" si="64"/>
        <v>24.952999999999999</v>
      </c>
      <c r="H35" s="78">
        <f t="shared" si="64"/>
        <v>24.952999999999999</v>
      </c>
      <c r="I35" s="78">
        <f t="shared" si="64"/>
        <v>24.952999999999999</v>
      </c>
      <c r="J35" s="78">
        <f t="shared" si="64"/>
        <v>24.952999999999999</v>
      </c>
      <c r="K35" s="78">
        <f t="shared" si="64"/>
        <v>68.525399999999991</v>
      </c>
      <c r="L35" s="78">
        <f t="shared" si="64"/>
        <v>68.525399999999991</v>
      </c>
      <c r="M35" s="78">
        <f t="shared" si="64"/>
        <v>68.525399999999991</v>
      </c>
      <c r="N35" s="78">
        <f t="shared" si="64"/>
        <v>68.525399999999991</v>
      </c>
      <c r="O35" s="78">
        <f t="shared" si="64"/>
        <v>68.525399999999991</v>
      </c>
      <c r="P35" s="78">
        <f t="shared" si="64"/>
        <v>68.525399999999991</v>
      </c>
      <c r="Q35" s="78">
        <f t="shared" si="64"/>
        <v>68.525399999999991</v>
      </c>
      <c r="R35" s="78">
        <f t="shared" si="64"/>
        <v>112.76291999999998</v>
      </c>
      <c r="S35" s="78">
        <f t="shared" ref="S35:U35" si="65">R35+S34</f>
        <v>112.76291999999998</v>
      </c>
      <c r="T35" s="78">
        <f t="shared" si="65"/>
        <v>112.76291999999998</v>
      </c>
      <c r="U35" s="78">
        <f t="shared" si="65"/>
        <v>112.76291999999998</v>
      </c>
      <c r="V35" s="78">
        <f>U35+V34</f>
        <v>112.76291999999998</v>
      </c>
      <c r="W35" s="78">
        <f t="shared" ref="W35" si="66">V35+W34</f>
        <v>112.76291999999998</v>
      </c>
      <c r="X35" s="78">
        <f t="shared" ref="X35" si="67">W35+X34</f>
        <v>112.76291999999998</v>
      </c>
      <c r="Y35" s="78">
        <f t="shared" ref="Y35" si="68">X35+Y34</f>
        <v>163.16255999999998</v>
      </c>
      <c r="Z35" s="78">
        <f>Y35+Z34</f>
        <v>163.16255999999998</v>
      </c>
      <c r="AA35" s="78">
        <f>Z35+AA34</f>
        <v>163.16255999999998</v>
      </c>
      <c r="AB35" s="78">
        <f t="shared" ref="AB35:AF35" si="69">AA35+AB34</f>
        <v>163.16255999999998</v>
      </c>
      <c r="AC35" s="78">
        <f t="shared" si="69"/>
        <v>163.16255999999998</v>
      </c>
      <c r="AD35" s="78">
        <f t="shared" si="69"/>
        <v>163.16255999999998</v>
      </c>
      <c r="AE35" s="78">
        <f t="shared" si="69"/>
        <v>163.16255999999998</v>
      </c>
      <c r="AF35" s="78">
        <f t="shared" si="69"/>
        <v>191.81335999999999</v>
      </c>
      <c r="AG35" s="78">
        <f>AF35+AG34</f>
        <v>191.81335999999999</v>
      </c>
      <c r="AH35" s="8">
        <f>+AG35*1000</f>
        <v>191813.36</v>
      </c>
      <c r="AI35" s="6"/>
      <c r="AJ35" s="35"/>
      <c r="AK35" s="6"/>
      <c r="AL35" s="6"/>
      <c r="AM35" s="6"/>
      <c r="AN35" s="6"/>
      <c r="AO35" s="6"/>
    </row>
    <row r="36" spans="1:41" s="5" customFormat="1" ht="18" customHeight="1" x14ac:dyDescent="0.25">
      <c r="A36" s="41"/>
      <c r="B36" s="47" t="s">
        <v>9</v>
      </c>
      <c r="C36" s="79">
        <f>$AK$91/31/1000</f>
        <v>29.828709677419354</v>
      </c>
      <c r="D36" s="79">
        <f t="shared" ref="D36:AG36" si="70">$AK$91/31/1000</f>
        <v>29.828709677419354</v>
      </c>
      <c r="E36" s="79">
        <f t="shared" si="70"/>
        <v>29.828709677419354</v>
      </c>
      <c r="F36" s="79">
        <f t="shared" si="70"/>
        <v>29.828709677419354</v>
      </c>
      <c r="G36" s="79">
        <f t="shared" si="70"/>
        <v>29.828709677419354</v>
      </c>
      <c r="H36" s="79">
        <f t="shared" si="70"/>
        <v>29.828709677419354</v>
      </c>
      <c r="I36" s="79">
        <f t="shared" si="70"/>
        <v>29.828709677419354</v>
      </c>
      <c r="J36" s="79">
        <f t="shared" si="70"/>
        <v>29.828709677419354</v>
      </c>
      <c r="K36" s="79">
        <f t="shared" si="70"/>
        <v>29.828709677419354</v>
      </c>
      <c r="L36" s="79">
        <f t="shared" si="70"/>
        <v>29.828709677419354</v>
      </c>
      <c r="M36" s="79">
        <f t="shared" si="70"/>
        <v>29.828709677419354</v>
      </c>
      <c r="N36" s="79">
        <f t="shared" si="70"/>
        <v>29.828709677419354</v>
      </c>
      <c r="O36" s="79">
        <f t="shared" si="70"/>
        <v>29.828709677419354</v>
      </c>
      <c r="P36" s="79">
        <f t="shared" si="70"/>
        <v>29.828709677419354</v>
      </c>
      <c r="Q36" s="79">
        <f t="shared" si="70"/>
        <v>29.828709677419354</v>
      </c>
      <c r="R36" s="79">
        <f t="shared" si="70"/>
        <v>29.828709677419354</v>
      </c>
      <c r="S36" s="79">
        <f t="shared" si="70"/>
        <v>29.828709677419354</v>
      </c>
      <c r="T36" s="79">
        <f t="shared" si="70"/>
        <v>29.828709677419354</v>
      </c>
      <c r="U36" s="79">
        <f t="shared" si="70"/>
        <v>29.828709677419354</v>
      </c>
      <c r="V36" s="79">
        <f t="shared" si="70"/>
        <v>29.828709677419354</v>
      </c>
      <c r="W36" s="79">
        <f t="shared" si="70"/>
        <v>29.828709677419354</v>
      </c>
      <c r="X36" s="79">
        <f t="shared" si="70"/>
        <v>29.828709677419354</v>
      </c>
      <c r="Y36" s="79">
        <f t="shared" si="70"/>
        <v>29.828709677419354</v>
      </c>
      <c r="Z36" s="79">
        <f t="shared" si="70"/>
        <v>29.828709677419354</v>
      </c>
      <c r="AA36" s="79">
        <f t="shared" si="70"/>
        <v>29.828709677419354</v>
      </c>
      <c r="AB36" s="79">
        <f t="shared" si="70"/>
        <v>29.828709677419354</v>
      </c>
      <c r="AC36" s="79">
        <f t="shared" si="70"/>
        <v>29.828709677419354</v>
      </c>
      <c r="AD36" s="79">
        <f t="shared" si="70"/>
        <v>29.828709677419354</v>
      </c>
      <c r="AE36" s="79">
        <f t="shared" si="70"/>
        <v>29.828709677419354</v>
      </c>
      <c r="AF36" s="79">
        <f t="shared" si="70"/>
        <v>29.828709677419354</v>
      </c>
      <c r="AG36" s="79">
        <f t="shared" si="70"/>
        <v>29.828709677419354</v>
      </c>
      <c r="AI36" s="6"/>
      <c r="AJ36" s="35"/>
      <c r="AK36" s="6"/>
      <c r="AL36" s="6"/>
      <c r="AM36" s="6"/>
      <c r="AN36" s="6"/>
      <c r="AO36" s="6"/>
    </row>
    <row r="37" spans="1:41" s="7" customFormat="1" ht="18" customHeight="1" x14ac:dyDescent="0.25">
      <c r="A37" s="41" t="s">
        <v>66</v>
      </c>
      <c r="B37" s="44" t="s">
        <v>13</v>
      </c>
      <c r="C37" s="75">
        <f>+C36</f>
        <v>29.828709677419354</v>
      </c>
      <c r="D37" s="76">
        <f t="shared" ref="D37" si="71">C37+D36</f>
        <v>59.657419354838709</v>
      </c>
      <c r="E37" s="76">
        <f t="shared" ref="E37" si="72">D37+E36</f>
        <v>89.486129032258063</v>
      </c>
      <c r="F37" s="76">
        <f t="shared" ref="F37" si="73">E37+F36</f>
        <v>119.31483870967742</v>
      </c>
      <c r="G37" s="76">
        <f t="shared" ref="G37" si="74">F37+G36</f>
        <v>149.14354838709676</v>
      </c>
      <c r="H37" s="76">
        <f t="shared" ref="H37" si="75">G37+H36</f>
        <v>178.9722580645161</v>
      </c>
      <c r="I37" s="76">
        <f t="shared" ref="I37" si="76">H37+I36</f>
        <v>208.80096774193544</v>
      </c>
      <c r="J37" s="76">
        <f t="shared" ref="J37" si="77">I37+J36</f>
        <v>238.62967741935478</v>
      </c>
      <c r="K37" s="76">
        <f t="shared" ref="K37" si="78">J37+K36</f>
        <v>268.45838709677412</v>
      </c>
      <c r="L37" s="76">
        <f t="shared" ref="L37" si="79">K37+L36</f>
        <v>298.28709677419346</v>
      </c>
      <c r="M37" s="76">
        <f t="shared" ref="M37" si="80">L37+M36</f>
        <v>328.1158064516128</v>
      </c>
      <c r="N37" s="76">
        <f t="shared" ref="N37" si="81">M37+N36</f>
        <v>357.94451612903214</v>
      </c>
      <c r="O37" s="76">
        <f t="shared" ref="O37" si="82">N37+O36</f>
        <v>387.77322580645148</v>
      </c>
      <c r="P37" s="76">
        <f t="shared" ref="P37" si="83">O37+P36</f>
        <v>417.60193548387082</v>
      </c>
      <c r="Q37" s="76">
        <f t="shared" ref="Q37" si="84">P37+Q36</f>
        <v>447.43064516129016</v>
      </c>
      <c r="R37" s="76">
        <f t="shared" ref="R37" si="85">Q37+R36</f>
        <v>477.2593548387095</v>
      </c>
      <c r="S37" s="76">
        <f t="shared" ref="S37" si="86">R37+S36</f>
        <v>507.08806451612884</v>
      </c>
      <c r="T37" s="76">
        <f t="shared" ref="T37" si="87">S37+T36</f>
        <v>536.91677419354824</v>
      </c>
      <c r="U37" s="76">
        <f t="shared" ref="U37" si="88">T37+U36</f>
        <v>566.74548387096763</v>
      </c>
      <c r="V37" s="76">
        <f t="shared" ref="V37" si="89">U37+V36</f>
        <v>596.57419354838703</v>
      </c>
      <c r="W37" s="76">
        <f t="shared" ref="W37" si="90">V37+W36</f>
        <v>626.40290322580643</v>
      </c>
      <c r="X37" s="76">
        <f t="shared" ref="X37" si="91">W37+X36</f>
        <v>656.23161290322582</v>
      </c>
      <c r="Y37" s="76">
        <f t="shared" ref="Y37" si="92">X37+Y36</f>
        <v>686.06032258064522</v>
      </c>
      <c r="Z37" s="76">
        <f>Y37+Z36</f>
        <v>715.88903225806462</v>
      </c>
      <c r="AA37" s="76">
        <f>Z37+AA36</f>
        <v>745.71774193548401</v>
      </c>
      <c r="AB37" s="76">
        <f t="shared" ref="AB37" si="93">AA37+AB36</f>
        <v>775.54645161290341</v>
      </c>
      <c r="AC37" s="76">
        <f t="shared" ref="AC37" si="94">AB37+AC36</f>
        <v>805.37516129032281</v>
      </c>
      <c r="AD37" s="76">
        <f t="shared" ref="AD37" si="95">AC37+AD36</f>
        <v>835.2038709677422</v>
      </c>
      <c r="AE37" s="76">
        <f t="shared" ref="AE37" si="96">AD37+AE36</f>
        <v>865.0325806451616</v>
      </c>
      <c r="AF37" s="76">
        <f t="shared" ref="AF37:AG37" si="97">AE37+AF36</f>
        <v>894.861290322581</v>
      </c>
      <c r="AG37" s="76">
        <f t="shared" si="97"/>
        <v>924.6900000000004</v>
      </c>
      <c r="AH37" s="6"/>
      <c r="AI37" s="6"/>
      <c r="AJ37" s="35"/>
      <c r="AK37" s="6"/>
      <c r="AL37" s="6"/>
      <c r="AM37" s="6"/>
      <c r="AN37" s="6"/>
      <c r="AO37" s="6"/>
    </row>
    <row r="38" spans="1:41" s="6" customFormat="1" ht="18" customHeight="1" thickBot="1" x14ac:dyDescent="0.3">
      <c r="A38" s="119"/>
      <c r="B38" s="45" t="s">
        <v>15</v>
      </c>
      <c r="C38" s="80">
        <v>0</v>
      </c>
      <c r="D38" s="80">
        <v>0</v>
      </c>
      <c r="E38" s="80">
        <v>0</v>
      </c>
      <c r="F38" s="80">
        <f>154.115</f>
        <v>154.11500000000001</v>
      </c>
      <c r="G38" s="80">
        <v>0</v>
      </c>
      <c r="H38" s="80">
        <v>0</v>
      </c>
      <c r="I38" s="80">
        <v>0</v>
      </c>
      <c r="J38" s="80">
        <v>0</v>
      </c>
      <c r="K38" s="80">
        <f>154.115</f>
        <v>154.11500000000001</v>
      </c>
      <c r="L38" s="80">
        <v>0</v>
      </c>
      <c r="M38" s="80">
        <v>0</v>
      </c>
      <c r="N38" s="80">
        <f>154.115</f>
        <v>154.11500000000001</v>
      </c>
      <c r="O38" s="80">
        <v>0</v>
      </c>
      <c r="P38" s="80">
        <v>0</v>
      </c>
      <c r="Q38" s="80">
        <v>0</v>
      </c>
      <c r="R38" s="80">
        <f>154.115</f>
        <v>154.11500000000001</v>
      </c>
      <c r="S38" s="80">
        <v>0</v>
      </c>
      <c r="T38" s="80">
        <v>0</v>
      </c>
      <c r="U38" s="80">
        <v>0</v>
      </c>
      <c r="V38" s="80">
        <f>154.115</f>
        <v>154.11500000000001</v>
      </c>
      <c r="W38" s="80">
        <v>0</v>
      </c>
      <c r="X38" s="80">
        <v>0</v>
      </c>
      <c r="Y38" s="80">
        <v>0</v>
      </c>
      <c r="Z38" s="80">
        <f>154.115</f>
        <v>154.11500000000001</v>
      </c>
      <c r="AA38" s="80">
        <v>0</v>
      </c>
      <c r="AB38" s="80">
        <v>0</v>
      </c>
      <c r="AC38" s="80">
        <v>0</v>
      </c>
      <c r="AD38" s="80">
        <v>0</v>
      </c>
      <c r="AE38" s="80">
        <v>0</v>
      </c>
      <c r="AF38" s="80">
        <v>0</v>
      </c>
      <c r="AG38" s="80">
        <v>0</v>
      </c>
      <c r="AJ38" s="35"/>
    </row>
    <row r="39" spans="1:41" s="8" customFormat="1" ht="18" customHeight="1" thickBot="1" x14ac:dyDescent="0.3">
      <c r="A39" s="120"/>
      <c r="B39" s="36" t="s">
        <v>17</v>
      </c>
      <c r="C39" s="77">
        <f>C38</f>
        <v>0</v>
      </c>
      <c r="D39" s="78">
        <f t="shared" ref="D39" si="98">C39+D38</f>
        <v>0</v>
      </c>
      <c r="E39" s="78">
        <f t="shared" ref="E39" si="99">D39+E38</f>
        <v>0</v>
      </c>
      <c r="F39" s="78">
        <f t="shared" ref="F39" si="100">E39+F38</f>
        <v>154.11500000000001</v>
      </c>
      <c r="G39" s="78">
        <f>F39+G38</f>
        <v>154.11500000000001</v>
      </c>
      <c r="H39" s="78">
        <f t="shared" ref="H39" si="101">G39+H38</f>
        <v>154.11500000000001</v>
      </c>
      <c r="I39" s="78">
        <f t="shared" ref="I39" si="102">H39+I38</f>
        <v>154.11500000000001</v>
      </c>
      <c r="J39" s="78">
        <f t="shared" ref="J39" si="103">I39+J38</f>
        <v>154.11500000000001</v>
      </c>
      <c r="K39" s="78">
        <f t="shared" ref="K39" si="104">J39+K38</f>
        <v>308.23</v>
      </c>
      <c r="L39" s="78">
        <f>K39+L38</f>
        <v>308.23</v>
      </c>
      <c r="M39" s="78">
        <f>L39+M38</f>
        <v>308.23</v>
      </c>
      <c r="N39" s="78">
        <f t="shared" ref="N39" si="105">M39+N38</f>
        <v>462.34500000000003</v>
      </c>
      <c r="O39" s="78">
        <f t="shared" ref="O39" si="106">N39+O38</f>
        <v>462.34500000000003</v>
      </c>
      <c r="P39" s="78">
        <f t="shared" ref="P39" si="107">O39+P38</f>
        <v>462.34500000000003</v>
      </c>
      <c r="Q39" s="78">
        <f t="shared" ref="Q39" si="108">P39+Q38</f>
        <v>462.34500000000003</v>
      </c>
      <c r="R39" s="78">
        <f t="shared" ref="R39" si="109">Q39+R38</f>
        <v>616.46</v>
      </c>
      <c r="S39" s="78">
        <f t="shared" ref="S39" si="110">R39+S38</f>
        <v>616.46</v>
      </c>
      <c r="T39" s="78">
        <f t="shared" ref="T39" si="111">S39+T38</f>
        <v>616.46</v>
      </c>
      <c r="U39" s="78">
        <f t="shared" ref="U39" si="112">T39+U38</f>
        <v>616.46</v>
      </c>
      <c r="V39" s="78">
        <f t="shared" ref="V39" si="113">U39+V38</f>
        <v>770.57500000000005</v>
      </c>
      <c r="W39" s="78">
        <f t="shared" ref="W39" si="114">V39+W38</f>
        <v>770.57500000000005</v>
      </c>
      <c r="X39" s="78">
        <f>W39+X38</f>
        <v>770.57500000000005</v>
      </c>
      <c r="Y39" s="78">
        <f t="shared" ref="Y39" si="115">X39+Y38</f>
        <v>770.57500000000005</v>
      </c>
      <c r="Z39" s="78">
        <f>Y39+Z38</f>
        <v>924.69</v>
      </c>
      <c r="AA39" s="78">
        <f>Z39+AA38</f>
        <v>924.69</v>
      </c>
      <c r="AB39" s="78">
        <f t="shared" ref="AB39" si="116">AA39+AB38</f>
        <v>924.69</v>
      </c>
      <c r="AC39" s="78">
        <f t="shared" ref="AC39" si="117">AB39+AC38</f>
        <v>924.69</v>
      </c>
      <c r="AD39" s="78">
        <f t="shared" ref="AD39" si="118">AC39+AD38</f>
        <v>924.69</v>
      </c>
      <c r="AE39" s="78">
        <f t="shared" ref="AE39" si="119">AD39+AE38</f>
        <v>924.69</v>
      </c>
      <c r="AF39" s="78">
        <f t="shared" ref="AF39:AG39" si="120">AE39+AF38</f>
        <v>924.69</v>
      </c>
      <c r="AG39" s="78">
        <f t="shared" si="120"/>
        <v>924.69</v>
      </c>
      <c r="AH39" s="8">
        <f>+AG39*1000</f>
        <v>924690</v>
      </c>
      <c r="AN39" s="6"/>
      <c r="AO39" s="6"/>
    </row>
    <row r="40" spans="1:41" s="5" customFormat="1" ht="18" customHeight="1" x14ac:dyDescent="0.25">
      <c r="A40" s="41"/>
      <c r="B40" s="47" t="s">
        <v>9</v>
      </c>
      <c r="C40" s="79">
        <f>$AK$95/31/1000</f>
        <v>112.63188774193549</v>
      </c>
      <c r="D40" s="79">
        <f t="shared" ref="D40:AG40" si="121">$AK$95/31/1000</f>
        <v>112.63188774193549</v>
      </c>
      <c r="E40" s="79">
        <f t="shared" si="121"/>
        <v>112.63188774193549</v>
      </c>
      <c r="F40" s="79">
        <f t="shared" si="121"/>
        <v>112.63188774193549</v>
      </c>
      <c r="G40" s="79">
        <f t="shared" si="121"/>
        <v>112.63188774193549</v>
      </c>
      <c r="H40" s="79">
        <f t="shared" si="121"/>
        <v>112.63188774193549</v>
      </c>
      <c r="I40" s="79">
        <f t="shared" si="121"/>
        <v>112.63188774193549</v>
      </c>
      <c r="J40" s="79">
        <f t="shared" si="121"/>
        <v>112.63188774193549</v>
      </c>
      <c r="K40" s="79">
        <f t="shared" si="121"/>
        <v>112.63188774193549</v>
      </c>
      <c r="L40" s="79">
        <f t="shared" si="121"/>
        <v>112.63188774193549</v>
      </c>
      <c r="M40" s="79">
        <f t="shared" si="121"/>
        <v>112.63188774193549</v>
      </c>
      <c r="N40" s="79">
        <f t="shared" si="121"/>
        <v>112.63188774193549</v>
      </c>
      <c r="O40" s="79">
        <f t="shared" si="121"/>
        <v>112.63188774193549</v>
      </c>
      <c r="P40" s="79">
        <f t="shared" si="121"/>
        <v>112.63188774193549</v>
      </c>
      <c r="Q40" s="79">
        <f t="shared" si="121"/>
        <v>112.63188774193549</v>
      </c>
      <c r="R40" s="79">
        <f t="shared" si="121"/>
        <v>112.63188774193549</v>
      </c>
      <c r="S40" s="79">
        <f t="shared" si="121"/>
        <v>112.63188774193549</v>
      </c>
      <c r="T40" s="79">
        <f t="shared" si="121"/>
        <v>112.63188774193549</v>
      </c>
      <c r="U40" s="79">
        <f t="shared" si="121"/>
        <v>112.63188774193549</v>
      </c>
      <c r="V40" s="79">
        <f t="shared" si="121"/>
        <v>112.63188774193549</v>
      </c>
      <c r="W40" s="79">
        <f t="shared" si="121"/>
        <v>112.63188774193549</v>
      </c>
      <c r="X40" s="79">
        <f t="shared" si="121"/>
        <v>112.63188774193549</v>
      </c>
      <c r="Y40" s="79">
        <f t="shared" si="121"/>
        <v>112.63188774193549</v>
      </c>
      <c r="Z40" s="79">
        <f t="shared" si="121"/>
        <v>112.63188774193549</v>
      </c>
      <c r="AA40" s="79">
        <f t="shared" si="121"/>
        <v>112.63188774193549</v>
      </c>
      <c r="AB40" s="79">
        <f t="shared" si="121"/>
        <v>112.63188774193549</v>
      </c>
      <c r="AC40" s="79">
        <f t="shared" si="121"/>
        <v>112.63188774193549</v>
      </c>
      <c r="AD40" s="79">
        <f t="shared" si="121"/>
        <v>112.63188774193549</v>
      </c>
      <c r="AE40" s="79">
        <f t="shared" si="121"/>
        <v>112.63188774193549</v>
      </c>
      <c r="AF40" s="79">
        <f t="shared" si="121"/>
        <v>112.63188774193549</v>
      </c>
      <c r="AG40" s="79">
        <f t="shared" si="121"/>
        <v>112.63188774193549</v>
      </c>
      <c r="AN40" s="6"/>
      <c r="AO40" s="6"/>
    </row>
    <row r="41" spans="1:41" s="7" customFormat="1" ht="18" customHeight="1" x14ac:dyDescent="0.25">
      <c r="A41" s="41" t="s">
        <v>70</v>
      </c>
      <c r="B41" s="44" t="s">
        <v>13</v>
      </c>
      <c r="C41" s="75">
        <f>+C40</f>
        <v>112.63188774193549</v>
      </c>
      <c r="D41" s="76">
        <f t="shared" ref="D41" si="122">C41+D40</f>
        <v>225.26377548387097</v>
      </c>
      <c r="E41" s="76">
        <f t="shared" ref="E41" si="123">D41+E40</f>
        <v>337.89566322580646</v>
      </c>
      <c r="F41" s="76">
        <f t="shared" ref="F41" si="124">E41+F40</f>
        <v>450.52755096774194</v>
      </c>
      <c r="G41" s="76">
        <f t="shared" ref="G41" si="125">F41+G40</f>
        <v>563.15943870967749</v>
      </c>
      <c r="H41" s="76">
        <f t="shared" ref="H41" si="126">G41+H40</f>
        <v>675.79132645161303</v>
      </c>
      <c r="I41" s="76">
        <f t="shared" ref="I41" si="127">H41+I40</f>
        <v>788.42321419354857</v>
      </c>
      <c r="J41" s="76">
        <f t="shared" ref="J41" si="128">I41+J40</f>
        <v>901.05510193548412</v>
      </c>
      <c r="K41" s="76">
        <f t="shared" ref="K41" si="129">J41+K40</f>
        <v>1013.6869896774197</v>
      </c>
      <c r="L41" s="76">
        <f t="shared" ref="L41" si="130">K41+L40</f>
        <v>1126.3188774193552</v>
      </c>
      <c r="M41" s="76">
        <f t="shared" ref="M41" si="131">L41+M40</f>
        <v>1238.9507651612907</v>
      </c>
      <c r="N41" s="76">
        <f t="shared" ref="N41" si="132">M41+N40</f>
        <v>1351.5826529032263</v>
      </c>
      <c r="O41" s="76">
        <f t="shared" ref="O41" si="133">N41+O40</f>
        <v>1464.2145406451618</v>
      </c>
      <c r="P41" s="76">
        <f t="shared" ref="P41" si="134">O41+P40</f>
        <v>1576.8464283870974</v>
      </c>
      <c r="Q41" s="76">
        <f t="shared" ref="Q41" si="135">P41+Q40</f>
        <v>1689.4783161290329</v>
      </c>
      <c r="R41" s="76">
        <f t="shared" ref="R41" si="136">Q41+R40</f>
        <v>1802.1102038709685</v>
      </c>
      <c r="S41" s="76">
        <f t="shared" ref="S41" si="137">R41+S40</f>
        <v>1914.742091612904</v>
      </c>
      <c r="T41" s="76">
        <f t="shared" ref="T41" si="138">S41+T40</f>
        <v>2027.3739793548395</v>
      </c>
      <c r="U41" s="76">
        <f t="shared" ref="U41" si="139">T41+U40</f>
        <v>2140.0058670967751</v>
      </c>
      <c r="V41" s="76">
        <f t="shared" ref="V41" si="140">U41+V40</f>
        <v>2252.6377548387104</v>
      </c>
      <c r="W41" s="76">
        <f t="shared" ref="W41" si="141">V41+W40</f>
        <v>2365.2696425806457</v>
      </c>
      <c r="X41" s="76">
        <f t="shared" ref="X41" si="142">W41+X40</f>
        <v>2477.901530322581</v>
      </c>
      <c r="Y41" s="76">
        <f t="shared" ref="Y41" si="143">X41+Y40</f>
        <v>2590.5334180645164</v>
      </c>
      <c r="Z41" s="76">
        <f>Y41+Z40</f>
        <v>2703.1653058064517</v>
      </c>
      <c r="AA41" s="76">
        <f>Z41+AA40</f>
        <v>2815.797193548387</v>
      </c>
      <c r="AB41" s="76">
        <f t="shared" ref="AB41" si="144">AA41+AB40</f>
        <v>2928.4290812903223</v>
      </c>
      <c r="AC41" s="76">
        <f t="shared" ref="AC41" si="145">AB41+AC40</f>
        <v>3041.0609690322576</v>
      </c>
      <c r="AD41" s="76">
        <f t="shared" ref="AD41" si="146">AC41+AD40</f>
        <v>3153.6928567741929</v>
      </c>
      <c r="AE41" s="76">
        <f t="shared" ref="AE41" si="147">AD41+AE40</f>
        <v>3266.3247445161282</v>
      </c>
      <c r="AF41" s="76">
        <f t="shared" ref="AF41" si="148">AE41+AF40</f>
        <v>3378.9566322580636</v>
      </c>
      <c r="AG41" s="76">
        <f t="shared" ref="AG41" si="149">AF41+AG40</f>
        <v>3491.5885199999989</v>
      </c>
      <c r="AH41" s="6"/>
      <c r="AN41" s="6"/>
      <c r="AO41" s="6"/>
    </row>
    <row r="42" spans="1:41" s="6" customFormat="1" ht="18" customHeight="1" thickBot="1" x14ac:dyDescent="0.3">
      <c r="A42" s="119"/>
      <c r="B42" s="45" t="s">
        <v>15</v>
      </c>
      <c r="C42" s="80">
        <v>0</v>
      </c>
      <c r="D42" s="80">
        <v>55.853999999999999</v>
      </c>
      <c r="E42" s="80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>
        <f>481.73868+76.18464+83.781</f>
        <v>641.70432000000005</v>
      </c>
      <c r="L42" s="80">
        <v>0</v>
      </c>
      <c r="M42" s="80">
        <v>167.56128000000001</v>
      </c>
      <c r="N42" s="80">
        <v>0</v>
      </c>
      <c r="O42" s="80">
        <v>0</v>
      </c>
      <c r="P42" s="80">
        <v>0</v>
      </c>
      <c r="Q42" s="80">
        <v>0</v>
      </c>
      <c r="R42" s="80">
        <f>55.854+95.2308+481.73868</f>
        <v>632.82348000000002</v>
      </c>
      <c r="S42" s="80">
        <v>0</v>
      </c>
      <c r="T42" s="80">
        <v>167.56128000000001</v>
      </c>
      <c r="U42" s="80">
        <v>0</v>
      </c>
      <c r="V42" s="80">
        <v>0</v>
      </c>
      <c r="W42" s="80">
        <v>0</v>
      </c>
      <c r="X42" s="80">
        <v>0</v>
      </c>
      <c r="Y42" s="80">
        <f>95.2308+649.29996</f>
        <v>744.5307600000001</v>
      </c>
      <c r="Z42" s="80">
        <v>0</v>
      </c>
      <c r="AA42" s="80">
        <v>0</v>
      </c>
      <c r="AB42" s="80">
        <f>76.18464+754.02576</f>
        <v>830.21039999999994</v>
      </c>
      <c r="AC42" s="80">
        <v>0</v>
      </c>
      <c r="AD42" s="80">
        <v>0</v>
      </c>
      <c r="AE42" s="80">
        <v>0</v>
      </c>
      <c r="AF42" s="80">
        <v>0</v>
      </c>
      <c r="AG42" s="80">
        <v>0</v>
      </c>
    </row>
    <row r="43" spans="1:41" s="8" customFormat="1" ht="18" customHeight="1" thickBot="1" x14ac:dyDescent="0.3">
      <c r="A43" s="120"/>
      <c r="B43" s="36" t="s">
        <v>17</v>
      </c>
      <c r="C43" s="77">
        <f>C42</f>
        <v>0</v>
      </c>
      <c r="D43" s="78">
        <f t="shared" ref="D43" si="150">C43+D42</f>
        <v>55.853999999999999</v>
      </c>
      <c r="E43" s="78">
        <f t="shared" ref="E43" si="151">D43+E42</f>
        <v>55.853999999999999</v>
      </c>
      <c r="F43" s="78">
        <f t="shared" ref="F43" si="152">E43+F42</f>
        <v>55.853999999999999</v>
      </c>
      <c r="G43" s="78">
        <f>F43+G42</f>
        <v>55.853999999999999</v>
      </c>
      <c r="H43" s="78">
        <f t="shared" ref="H43" si="153">G43+H42</f>
        <v>55.853999999999999</v>
      </c>
      <c r="I43" s="78">
        <f t="shared" ref="I43" si="154">H43+I42</f>
        <v>55.853999999999999</v>
      </c>
      <c r="J43" s="78">
        <f t="shared" ref="J43" si="155">I43+J42</f>
        <v>55.853999999999999</v>
      </c>
      <c r="K43" s="78">
        <f t="shared" ref="K43" si="156">J43+K42</f>
        <v>697.55832000000009</v>
      </c>
      <c r="L43" s="78">
        <f>K43+L42</f>
        <v>697.55832000000009</v>
      </c>
      <c r="M43" s="78">
        <f>L43+M42</f>
        <v>865.1196000000001</v>
      </c>
      <c r="N43" s="78">
        <f t="shared" ref="N43" si="157">M43+N42</f>
        <v>865.1196000000001</v>
      </c>
      <c r="O43" s="78">
        <f t="shared" ref="O43" si="158">N43+O42</f>
        <v>865.1196000000001</v>
      </c>
      <c r="P43" s="78">
        <f t="shared" ref="P43" si="159">O43+P42</f>
        <v>865.1196000000001</v>
      </c>
      <c r="Q43" s="78">
        <f t="shared" ref="Q43" si="160">P43+Q42</f>
        <v>865.1196000000001</v>
      </c>
      <c r="R43" s="78">
        <f t="shared" ref="R43" si="161">Q43+R42</f>
        <v>1497.94308</v>
      </c>
      <c r="S43" s="78">
        <f t="shared" ref="S43" si="162">R43+S42</f>
        <v>1497.94308</v>
      </c>
      <c r="T43" s="78">
        <f t="shared" ref="T43" si="163">S43+T42</f>
        <v>1665.5043599999999</v>
      </c>
      <c r="U43" s="78">
        <f t="shared" ref="U43" si="164">T43+U42</f>
        <v>1665.5043599999999</v>
      </c>
      <c r="V43" s="78">
        <f t="shared" ref="V43" si="165">U43+V42</f>
        <v>1665.5043599999999</v>
      </c>
      <c r="W43" s="78">
        <f t="shared" ref="W43" si="166">V43+W42</f>
        <v>1665.5043599999999</v>
      </c>
      <c r="X43" s="127">
        <f t="shared" ref="X43" si="167">W43+X42</f>
        <v>1665.5043599999999</v>
      </c>
      <c r="Y43" s="78">
        <f t="shared" ref="Y43" si="168">X43+Y42</f>
        <v>2410.03512</v>
      </c>
      <c r="Z43" s="78">
        <f>Y43+Z42</f>
        <v>2410.03512</v>
      </c>
      <c r="AA43" s="78">
        <f>Z43+AA42</f>
        <v>2410.03512</v>
      </c>
      <c r="AB43" s="78">
        <f t="shared" ref="AB43" si="169">AA43+AB42</f>
        <v>3240.2455199999999</v>
      </c>
      <c r="AC43" s="78">
        <f t="shared" ref="AC43" si="170">AB43+AC42</f>
        <v>3240.2455199999999</v>
      </c>
      <c r="AD43" s="78">
        <f t="shared" ref="AD43" si="171">AC43+AD42</f>
        <v>3240.2455199999999</v>
      </c>
      <c r="AE43" s="78">
        <f t="shared" ref="AE43" si="172">AD43+AE42</f>
        <v>3240.2455199999999</v>
      </c>
      <c r="AF43" s="78">
        <f t="shared" ref="AF43" si="173">AE43+AF42</f>
        <v>3240.2455199999999</v>
      </c>
      <c r="AG43" s="78">
        <f t="shared" ref="AG43" si="174">AF43+AG42</f>
        <v>3240.2455199999999</v>
      </c>
      <c r="AH43" s="8">
        <f>+AG43*1000</f>
        <v>3240245.52</v>
      </c>
      <c r="AN43" s="6"/>
      <c r="AO43" s="6"/>
    </row>
    <row r="44" spans="1:41" s="5" customFormat="1" ht="18" customHeight="1" x14ac:dyDescent="0.25">
      <c r="A44" s="41"/>
      <c r="B44" s="47" t="s">
        <v>9</v>
      </c>
      <c r="C44" s="79">
        <f>$AK$89/31/1000</f>
        <v>135.94490322580646</v>
      </c>
      <c r="D44" s="79">
        <f t="shared" ref="D44:AG44" si="175">$AK$89/31/1000</f>
        <v>135.94490322580646</v>
      </c>
      <c r="E44" s="79">
        <f t="shared" si="175"/>
        <v>135.94490322580646</v>
      </c>
      <c r="F44" s="79">
        <f t="shared" si="175"/>
        <v>135.94490322580646</v>
      </c>
      <c r="G44" s="79">
        <f t="shared" si="175"/>
        <v>135.94490322580646</v>
      </c>
      <c r="H44" s="79">
        <f t="shared" si="175"/>
        <v>135.94490322580646</v>
      </c>
      <c r="I44" s="79">
        <f t="shared" si="175"/>
        <v>135.94490322580646</v>
      </c>
      <c r="J44" s="79">
        <f t="shared" si="175"/>
        <v>135.94490322580646</v>
      </c>
      <c r="K44" s="79">
        <f t="shared" si="175"/>
        <v>135.94490322580646</v>
      </c>
      <c r="L44" s="79">
        <f t="shared" si="175"/>
        <v>135.94490322580646</v>
      </c>
      <c r="M44" s="79">
        <f t="shared" si="175"/>
        <v>135.94490322580646</v>
      </c>
      <c r="N44" s="79">
        <f t="shared" si="175"/>
        <v>135.94490322580646</v>
      </c>
      <c r="O44" s="79">
        <f t="shared" si="175"/>
        <v>135.94490322580646</v>
      </c>
      <c r="P44" s="79">
        <f t="shared" si="175"/>
        <v>135.94490322580646</v>
      </c>
      <c r="Q44" s="79">
        <f t="shared" si="175"/>
        <v>135.94490322580646</v>
      </c>
      <c r="R44" s="79">
        <f t="shared" si="175"/>
        <v>135.94490322580646</v>
      </c>
      <c r="S44" s="79">
        <f t="shared" si="175"/>
        <v>135.94490322580646</v>
      </c>
      <c r="T44" s="79">
        <f t="shared" si="175"/>
        <v>135.94490322580646</v>
      </c>
      <c r="U44" s="79">
        <f t="shared" si="175"/>
        <v>135.94490322580646</v>
      </c>
      <c r="V44" s="79">
        <f t="shared" si="175"/>
        <v>135.94490322580646</v>
      </c>
      <c r="W44" s="79">
        <f t="shared" si="175"/>
        <v>135.94490322580646</v>
      </c>
      <c r="X44" s="79">
        <f t="shared" si="175"/>
        <v>135.94490322580646</v>
      </c>
      <c r="Y44" s="79">
        <f t="shared" si="175"/>
        <v>135.94490322580646</v>
      </c>
      <c r="Z44" s="79">
        <f t="shared" si="175"/>
        <v>135.94490322580646</v>
      </c>
      <c r="AA44" s="79">
        <f t="shared" si="175"/>
        <v>135.94490322580646</v>
      </c>
      <c r="AB44" s="79">
        <f t="shared" si="175"/>
        <v>135.94490322580646</v>
      </c>
      <c r="AC44" s="79">
        <f t="shared" si="175"/>
        <v>135.94490322580646</v>
      </c>
      <c r="AD44" s="79">
        <f t="shared" si="175"/>
        <v>135.94490322580646</v>
      </c>
      <c r="AE44" s="79">
        <f t="shared" si="175"/>
        <v>135.94490322580646</v>
      </c>
      <c r="AF44" s="79">
        <f t="shared" si="175"/>
        <v>135.94490322580646</v>
      </c>
      <c r="AG44" s="79">
        <f t="shared" si="175"/>
        <v>135.94490322580646</v>
      </c>
      <c r="AN44" s="6"/>
      <c r="AO44" s="6"/>
    </row>
    <row r="45" spans="1:41" s="7" customFormat="1" ht="18" customHeight="1" x14ac:dyDescent="0.25">
      <c r="A45" s="41" t="s">
        <v>19</v>
      </c>
      <c r="B45" s="44" t="s">
        <v>13</v>
      </c>
      <c r="C45" s="75">
        <f>+C44</f>
        <v>135.94490322580646</v>
      </c>
      <c r="D45" s="76">
        <f t="shared" ref="D45:AG45" si="176">C45+D44</f>
        <v>271.88980645161291</v>
      </c>
      <c r="E45" s="76">
        <f t="shared" si="176"/>
        <v>407.83470967741937</v>
      </c>
      <c r="F45" s="76">
        <f t="shared" si="176"/>
        <v>543.77961290322582</v>
      </c>
      <c r="G45" s="76">
        <f t="shared" si="176"/>
        <v>679.72451612903228</v>
      </c>
      <c r="H45" s="76">
        <f t="shared" si="176"/>
        <v>815.66941935483874</v>
      </c>
      <c r="I45" s="76">
        <f t="shared" si="176"/>
        <v>951.61432258064519</v>
      </c>
      <c r="J45" s="76">
        <f t="shared" si="176"/>
        <v>1087.5592258064516</v>
      </c>
      <c r="K45" s="76">
        <f t="shared" si="176"/>
        <v>1223.5041290322581</v>
      </c>
      <c r="L45" s="76">
        <f t="shared" si="176"/>
        <v>1359.4490322580646</v>
      </c>
      <c r="M45" s="76">
        <f t="shared" si="176"/>
        <v>1495.393935483871</v>
      </c>
      <c r="N45" s="76">
        <f t="shared" si="176"/>
        <v>1631.3388387096775</v>
      </c>
      <c r="O45" s="76">
        <f t="shared" si="176"/>
        <v>1767.2837419354839</v>
      </c>
      <c r="P45" s="76">
        <f t="shared" si="176"/>
        <v>1903.2286451612904</v>
      </c>
      <c r="Q45" s="76">
        <f t="shared" si="176"/>
        <v>2039.1735483870968</v>
      </c>
      <c r="R45" s="76">
        <f t="shared" si="176"/>
        <v>2175.1184516129033</v>
      </c>
      <c r="S45" s="76">
        <f t="shared" si="176"/>
        <v>2311.0633548387095</v>
      </c>
      <c r="T45" s="76">
        <f t="shared" si="176"/>
        <v>2447.0082580645158</v>
      </c>
      <c r="U45" s="76">
        <f t="shared" si="176"/>
        <v>2582.953161290322</v>
      </c>
      <c r="V45" s="76">
        <f t="shared" si="176"/>
        <v>2718.8980645161282</v>
      </c>
      <c r="W45" s="76">
        <f t="shared" si="176"/>
        <v>2854.8429677419344</v>
      </c>
      <c r="X45" s="76">
        <f t="shared" si="176"/>
        <v>2990.7878709677407</v>
      </c>
      <c r="Y45" s="76">
        <f t="shared" si="176"/>
        <v>3126.7327741935469</v>
      </c>
      <c r="Z45" s="76">
        <f>Y45+Z44</f>
        <v>3262.6776774193531</v>
      </c>
      <c r="AA45" s="76">
        <f>Z45+AA44</f>
        <v>3398.6225806451594</v>
      </c>
      <c r="AB45" s="76">
        <f t="shared" si="176"/>
        <v>3534.5674838709656</v>
      </c>
      <c r="AC45" s="76">
        <f t="shared" si="176"/>
        <v>3670.5123870967718</v>
      </c>
      <c r="AD45" s="76">
        <f t="shared" si="176"/>
        <v>3806.457290322578</v>
      </c>
      <c r="AE45" s="76">
        <f t="shared" si="176"/>
        <v>3942.4021935483843</v>
      </c>
      <c r="AF45" s="76">
        <f t="shared" si="176"/>
        <v>4078.3470967741905</v>
      </c>
      <c r="AG45" s="76">
        <f t="shared" si="176"/>
        <v>4214.2919999999967</v>
      </c>
      <c r="AH45" s="150">
        <f>+AG47/AG45</f>
        <v>1.0993220213502062</v>
      </c>
      <c r="AN45" s="6"/>
      <c r="AO45" s="6"/>
    </row>
    <row r="46" spans="1:41" s="6" customFormat="1" ht="18" customHeight="1" thickBot="1" x14ac:dyDescent="0.3">
      <c r="A46" s="41"/>
      <c r="B46" s="45" t="s">
        <v>15</v>
      </c>
      <c r="C46" s="80">
        <v>0</v>
      </c>
      <c r="D46" s="80">
        <f>42.42+19.68+840.66+42.42+9.783+6.486</f>
        <v>961.44899999999996</v>
      </c>
      <c r="E46" s="80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>
        <f>124.632+40.89+704.43+42.42+40.89+48.915+25.296+278.256+37.944+63.24+9.783+12.648+12.648</f>
        <v>1441.9919999999995</v>
      </c>
      <c r="L46" s="80">
        <v>0</v>
      </c>
      <c r="M46" s="80">
        <v>0</v>
      </c>
      <c r="N46" s="80">
        <v>0</v>
      </c>
      <c r="O46" s="80">
        <v>0</v>
      </c>
      <c r="P46" s="80">
        <v>0</v>
      </c>
      <c r="Q46" s="80">
        <v>0</v>
      </c>
      <c r="R46" s="80">
        <f>21.21+16.74+19.68+577.17+19.68+29.349+12.648+9.783+113.832+9.783+12.648+12.648+6.486</f>
        <v>861.65700000000004</v>
      </c>
      <c r="S46" s="80">
        <v>0</v>
      </c>
      <c r="T46" s="80">
        <v>0</v>
      </c>
      <c r="U46" s="80">
        <v>0</v>
      </c>
      <c r="V46" s="80">
        <v>0</v>
      </c>
      <c r="W46" s="80">
        <v>0</v>
      </c>
      <c r="X46" s="80">
        <v>0</v>
      </c>
      <c r="Y46" s="80">
        <f>639.27+42.42+12.648+29.349+12.648+126.48+48.915+25.296+9.783+12.648</f>
        <v>959.45700000000011</v>
      </c>
      <c r="Z46" s="80">
        <v>0</v>
      </c>
      <c r="AA46" s="80">
        <v>0</v>
      </c>
      <c r="AB46" s="80">
        <v>0</v>
      </c>
      <c r="AC46" s="80">
        <v>0</v>
      </c>
      <c r="AD46" s="80">
        <v>0</v>
      </c>
      <c r="AE46" s="80">
        <v>0</v>
      </c>
      <c r="AF46" s="80">
        <f>16.74+50.22+39.36+19.68+50.592+12.648+177.072+9.783+32.214</f>
        <v>408.30900000000003</v>
      </c>
      <c r="AG46" s="80">
        <v>0</v>
      </c>
      <c r="AI46" s="6">
        <f>+AH47-AI47</f>
        <v>458622</v>
      </c>
    </row>
    <row r="47" spans="1:41" s="8" customFormat="1" ht="18" customHeight="1" thickBot="1" x14ac:dyDescent="0.3">
      <c r="A47" s="38"/>
      <c r="B47" s="36" t="s">
        <v>17</v>
      </c>
      <c r="C47" s="77">
        <f>C46</f>
        <v>0</v>
      </c>
      <c r="D47" s="78">
        <f t="shared" ref="D47:AE47" si="177">C47+D46</f>
        <v>961.44899999999996</v>
      </c>
      <c r="E47" s="78">
        <f t="shared" si="177"/>
        <v>961.44899999999996</v>
      </c>
      <c r="F47" s="78">
        <f t="shared" si="177"/>
        <v>961.44899999999996</v>
      </c>
      <c r="G47" s="78">
        <f t="shared" si="177"/>
        <v>961.44899999999996</v>
      </c>
      <c r="H47" s="78">
        <f t="shared" si="177"/>
        <v>961.44899999999996</v>
      </c>
      <c r="I47" s="78">
        <f t="shared" si="177"/>
        <v>961.44899999999996</v>
      </c>
      <c r="J47" s="78">
        <f t="shared" si="177"/>
        <v>961.44899999999996</v>
      </c>
      <c r="K47" s="78">
        <f t="shared" si="177"/>
        <v>2403.4409999999993</v>
      </c>
      <c r="L47" s="78">
        <f>K47+L46</f>
        <v>2403.4409999999993</v>
      </c>
      <c r="M47" s="78">
        <f t="shared" si="177"/>
        <v>2403.4409999999993</v>
      </c>
      <c r="N47" s="78">
        <f t="shared" si="177"/>
        <v>2403.4409999999993</v>
      </c>
      <c r="O47" s="78">
        <f t="shared" si="177"/>
        <v>2403.4409999999993</v>
      </c>
      <c r="P47" s="78">
        <f t="shared" si="177"/>
        <v>2403.4409999999993</v>
      </c>
      <c r="Q47" s="78">
        <f t="shared" si="177"/>
        <v>2403.4409999999993</v>
      </c>
      <c r="R47" s="78">
        <f t="shared" si="177"/>
        <v>3265.0979999999995</v>
      </c>
      <c r="S47" s="127">
        <f t="shared" si="177"/>
        <v>3265.0979999999995</v>
      </c>
      <c r="T47" s="78">
        <f t="shared" si="177"/>
        <v>3265.0979999999995</v>
      </c>
      <c r="U47" s="78">
        <f t="shared" si="177"/>
        <v>3265.0979999999995</v>
      </c>
      <c r="V47" s="127">
        <f t="shared" si="177"/>
        <v>3265.0979999999995</v>
      </c>
      <c r="W47" s="78">
        <f t="shared" si="177"/>
        <v>3265.0979999999995</v>
      </c>
      <c r="X47" s="78">
        <f t="shared" si="177"/>
        <v>3265.0979999999995</v>
      </c>
      <c r="Y47" s="78">
        <f t="shared" si="177"/>
        <v>4224.5549999999994</v>
      </c>
      <c r="Z47" s="78">
        <f>Y47+Z46</f>
        <v>4224.5549999999994</v>
      </c>
      <c r="AA47" s="78">
        <f>Z47+AA46</f>
        <v>4224.5549999999994</v>
      </c>
      <c r="AB47" s="78">
        <f t="shared" si="177"/>
        <v>4224.5549999999994</v>
      </c>
      <c r="AC47" s="78">
        <f t="shared" si="177"/>
        <v>4224.5549999999994</v>
      </c>
      <c r="AD47" s="78">
        <f>AC47+AD46</f>
        <v>4224.5549999999994</v>
      </c>
      <c r="AE47" s="78">
        <f t="shared" si="177"/>
        <v>4224.5549999999994</v>
      </c>
      <c r="AF47" s="78">
        <f>AE47+AF46</f>
        <v>4632.8639999999996</v>
      </c>
      <c r="AG47" s="78">
        <f>AF47+AG46</f>
        <v>4632.8639999999996</v>
      </c>
      <c r="AH47" s="8">
        <f>+AG47*1000</f>
        <v>4632864</v>
      </c>
      <c r="AI47" s="8">
        <v>4174242</v>
      </c>
      <c r="AN47" s="6"/>
      <c r="AO47" s="6"/>
    </row>
    <row r="48" spans="1:41" s="5" customFormat="1" ht="18.75" customHeight="1" x14ac:dyDescent="0.25">
      <c r="A48" s="43"/>
      <c r="B48" s="46" t="s">
        <v>9</v>
      </c>
      <c r="C48" s="79">
        <f>+$AK$93/1000/31</f>
        <v>20.057419354838707</v>
      </c>
      <c r="D48" s="79">
        <f t="shared" ref="D48:AG48" si="178">+$AK$93/1000/31</f>
        <v>20.057419354838707</v>
      </c>
      <c r="E48" s="79">
        <f t="shared" si="178"/>
        <v>20.057419354838707</v>
      </c>
      <c r="F48" s="79">
        <f t="shared" si="178"/>
        <v>20.057419354838707</v>
      </c>
      <c r="G48" s="79">
        <f t="shared" si="178"/>
        <v>20.057419354838707</v>
      </c>
      <c r="H48" s="79">
        <f t="shared" si="178"/>
        <v>20.057419354838707</v>
      </c>
      <c r="I48" s="79">
        <f t="shared" si="178"/>
        <v>20.057419354838707</v>
      </c>
      <c r="J48" s="79">
        <f t="shared" si="178"/>
        <v>20.057419354838707</v>
      </c>
      <c r="K48" s="79">
        <f t="shared" si="178"/>
        <v>20.057419354838707</v>
      </c>
      <c r="L48" s="79">
        <f t="shared" si="178"/>
        <v>20.057419354838707</v>
      </c>
      <c r="M48" s="79">
        <f t="shared" si="178"/>
        <v>20.057419354838707</v>
      </c>
      <c r="N48" s="79">
        <f t="shared" si="178"/>
        <v>20.057419354838707</v>
      </c>
      <c r="O48" s="79">
        <f t="shared" si="178"/>
        <v>20.057419354838707</v>
      </c>
      <c r="P48" s="79">
        <f t="shared" si="178"/>
        <v>20.057419354838707</v>
      </c>
      <c r="Q48" s="79">
        <f t="shared" si="178"/>
        <v>20.057419354838707</v>
      </c>
      <c r="R48" s="79">
        <f t="shared" si="178"/>
        <v>20.057419354838707</v>
      </c>
      <c r="S48" s="79">
        <f t="shared" si="178"/>
        <v>20.057419354838707</v>
      </c>
      <c r="T48" s="79">
        <f t="shared" si="178"/>
        <v>20.057419354838707</v>
      </c>
      <c r="U48" s="79">
        <f t="shared" si="178"/>
        <v>20.057419354838707</v>
      </c>
      <c r="V48" s="79">
        <f t="shared" si="178"/>
        <v>20.057419354838707</v>
      </c>
      <c r="W48" s="79">
        <f t="shared" si="178"/>
        <v>20.057419354838707</v>
      </c>
      <c r="X48" s="79">
        <f t="shared" si="178"/>
        <v>20.057419354838707</v>
      </c>
      <c r="Y48" s="79">
        <f t="shared" si="178"/>
        <v>20.057419354838707</v>
      </c>
      <c r="Z48" s="79">
        <f t="shared" si="178"/>
        <v>20.057419354838707</v>
      </c>
      <c r="AA48" s="79">
        <f t="shared" si="178"/>
        <v>20.057419354838707</v>
      </c>
      <c r="AB48" s="79">
        <f t="shared" si="178"/>
        <v>20.057419354838707</v>
      </c>
      <c r="AC48" s="79">
        <f t="shared" si="178"/>
        <v>20.057419354838707</v>
      </c>
      <c r="AD48" s="79">
        <f t="shared" si="178"/>
        <v>20.057419354838707</v>
      </c>
      <c r="AE48" s="79">
        <f t="shared" si="178"/>
        <v>20.057419354838707</v>
      </c>
      <c r="AF48" s="79">
        <f t="shared" si="178"/>
        <v>20.057419354838707</v>
      </c>
      <c r="AG48" s="79">
        <f t="shared" si="178"/>
        <v>20.057419354838707</v>
      </c>
      <c r="AN48" s="6"/>
      <c r="AO48" s="6"/>
    </row>
    <row r="49" spans="1:41" s="7" customFormat="1" ht="18.75" customHeight="1" x14ac:dyDescent="0.25">
      <c r="A49" s="41" t="s">
        <v>31</v>
      </c>
      <c r="B49" s="44" t="s">
        <v>13</v>
      </c>
      <c r="C49" s="75">
        <f>+C48</f>
        <v>20.057419354838707</v>
      </c>
      <c r="D49" s="76">
        <f t="shared" ref="D49:AG49" si="179">C49+D48</f>
        <v>40.114838709677414</v>
      </c>
      <c r="E49" s="76">
        <f t="shared" si="179"/>
        <v>60.172258064516122</v>
      </c>
      <c r="F49" s="76">
        <f t="shared" si="179"/>
        <v>80.229677419354829</v>
      </c>
      <c r="G49" s="76">
        <f t="shared" si="179"/>
        <v>100.28709677419354</v>
      </c>
      <c r="H49" s="76">
        <f t="shared" si="179"/>
        <v>120.34451612903226</v>
      </c>
      <c r="I49" s="76">
        <f t="shared" si="179"/>
        <v>140.40193548387097</v>
      </c>
      <c r="J49" s="76">
        <f t="shared" si="179"/>
        <v>160.45935483870969</v>
      </c>
      <c r="K49" s="76">
        <f>J49+K48</f>
        <v>180.5167741935484</v>
      </c>
      <c r="L49" s="76">
        <f t="shared" si="179"/>
        <v>200.57419354838711</v>
      </c>
      <c r="M49" s="76">
        <f t="shared" si="179"/>
        <v>220.63161290322583</v>
      </c>
      <c r="N49" s="76">
        <f t="shared" si="179"/>
        <v>240.68903225806454</v>
      </c>
      <c r="O49" s="76">
        <f t="shared" si="179"/>
        <v>260.74645161290323</v>
      </c>
      <c r="P49" s="76">
        <f t="shared" si="179"/>
        <v>280.80387096774194</v>
      </c>
      <c r="Q49" s="76">
        <f t="shared" si="179"/>
        <v>300.86129032258066</v>
      </c>
      <c r="R49" s="76">
        <f t="shared" si="179"/>
        <v>320.91870967741937</v>
      </c>
      <c r="S49" s="76">
        <f t="shared" si="179"/>
        <v>340.97612903225809</v>
      </c>
      <c r="T49" s="76">
        <f t="shared" si="179"/>
        <v>361.0335483870968</v>
      </c>
      <c r="U49" s="76">
        <f t="shared" si="179"/>
        <v>381.09096774193551</v>
      </c>
      <c r="V49" s="76">
        <f t="shared" si="179"/>
        <v>401.14838709677423</v>
      </c>
      <c r="W49" s="76">
        <f t="shared" si="179"/>
        <v>421.20580645161294</v>
      </c>
      <c r="X49" s="76">
        <f t="shared" si="179"/>
        <v>441.26322580645166</v>
      </c>
      <c r="Y49" s="76">
        <f t="shared" si="179"/>
        <v>461.32064516129037</v>
      </c>
      <c r="Z49" s="76">
        <f>Y49+Z48</f>
        <v>481.37806451612909</v>
      </c>
      <c r="AA49" s="76">
        <f>Z49+AA48</f>
        <v>501.4354838709678</v>
      </c>
      <c r="AB49" s="76">
        <f t="shared" si="179"/>
        <v>521.49290322580646</v>
      </c>
      <c r="AC49" s="76">
        <f t="shared" si="179"/>
        <v>541.55032258064512</v>
      </c>
      <c r="AD49" s="76">
        <f t="shared" si="179"/>
        <v>561.60774193548377</v>
      </c>
      <c r="AE49" s="76">
        <f t="shared" si="179"/>
        <v>581.66516129032243</v>
      </c>
      <c r="AF49" s="76">
        <f t="shared" si="179"/>
        <v>601.72258064516109</v>
      </c>
      <c r="AG49" s="76">
        <f t="shared" si="179"/>
        <v>621.77999999999975</v>
      </c>
      <c r="AH49" s="5"/>
      <c r="AN49" s="6"/>
      <c r="AO49" s="6"/>
    </row>
    <row r="50" spans="1:41" s="6" customFormat="1" ht="18.75" customHeight="1" thickBot="1" x14ac:dyDescent="0.3">
      <c r="A50" s="41"/>
      <c r="B50" s="45" t="s">
        <v>15</v>
      </c>
      <c r="C50" s="80">
        <v>0</v>
      </c>
      <c r="D50" s="80">
        <v>0</v>
      </c>
      <c r="E50" s="80">
        <v>0</v>
      </c>
      <c r="F50" s="80">
        <f>122.9</f>
        <v>122.9</v>
      </c>
      <c r="G50" s="80">
        <v>0</v>
      </c>
      <c r="H50" s="80">
        <v>0</v>
      </c>
      <c r="I50" s="80">
        <v>0</v>
      </c>
      <c r="J50" s="80">
        <v>0</v>
      </c>
      <c r="K50" s="80">
        <f>144.48</f>
        <v>144.47999999999999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f>144.48</f>
        <v>144.47999999999999</v>
      </c>
      <c r="S50" s="80">
        <v>0</v>
      </c>
      <c r="T50" s="80">
        <v>0</v>
      </c>
      <c r="U50" s="80">
        <v>0</v>
      </c>
      <c r="V50" s="80">
        <v>0</v>
      </c>
      <c r="W50" s="80">
        <v>0</v>
      </c>
      <c r="X50" s="80">
        <v>0</v>
      </c>
      <c r="Y50" s="80">
        <f>108.2</f>
        <v>108.2</v>
      </c>
      <c r="Z50" s="80">
        <v>0</v>
      </c>
      <c r="AA50" s="80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f>131.52</f>
        <v>131.52000000000001</v>
      </c>
      <c r="AG50" s="80">
        <v>0</v>
      </c>
      <c r="AH50" s="6">
        <f>+AG51-AG49</f>
        <v>29.800000000000296</v>
      </c>
    </row>
    <row r="51" spans="1:41" s="8" customFormat="1" ht="18.75" customHeight="1" thickBot="1" x14ac:dyDescent="0.3">
      <c r="A51" s="38"/>
      <c r="B51" s="36" t="s">
        <v>17</v>
      </c>
      <c r="C51" s="77">
        <f>C50</f>
        <v>0</v>
      </c>
      <c r="D51" s="78">
        <f t="shared" ref="D51:AE51" si="180">C51+D50</f>
        <v>0</v>
      </c>
      <c r="E51" s="78">
        <f t="shared" si="180"/>
        <v>0</v>
      </c>
      <c r="F51" s="78">
        <f t="shared" si="180"/>
        <v>122.9</v>
      </c>
      <c r="G51" s="78">
        <f t="shared" si="180"/>
        <v>122.9</v>
      </c>
      <c r="H51" s="78">
        <f>G51+H50</f>
        <v>122.9</v>
      </c>
      <c r="I51" s="78">
        <f t="shared" si="180"/>
        <v>122.9</v>
      </c>
      <c r="J51" s="78">
        <f>I51+J50</f>
        <v>122.9</v>
      </c>
      <c r="K51" s="78">
        <f t="shared" si="180"/>
        <v>267.38</v>
      </c>
      <c r="L51" s="78">
        <f t="shared" si="180"/>
        <v>267.38</v>
      </c>
      <c r="M51" s="78">
        <f t="shared" si="180"/>
        <v>267.38</v>
      </c>
      <c r="N51" s="78">
        <f t="shared" si="180"/>
        <v>267.38</v>
      </c>
      <c r="O51" s="78">
        <f t="shared" si="180"/>
        <v>267.38</v>
      </c>
      <c r="P51" s="78">
        <f t="shared" si="180"/>
        <v>267.38</v>
      </c>
      <c r="Q51" s="78">
        <f t="shared" si="180"/>
        <v>267.38</v>
      </c>
      <c r="R51" s="78">
        <f t="shared" si="180"/>
        <v>411.86</v>
      </c>
      <c r="S51" s="78">
        <f t="shared" si="180"/>
        <v>411.86</v>
      </c>
      <c r="T51" s="78">
        <f t="shared" si="180"/>
        <v>411.86</v>
      </c>
      <c r="U51" s="78">
        <f t="shared" si="180"/>
        <v>411.86</v>
      </c>
      <c r="V51" s="78">
        <f t="shared" si="180"/>
        <v>411.86</v>
      </c>
      <c r="W51" s="78">
        <f t="shared" si="180"/>
        <v>411.86</v>
      </c>
      <c r="X51" s="78">
        <f>W51+X50</f>
        <v>411.86</v>
      </c>
      <c r="Y51" s="78">
        <f t="shared" si="180"/>
        <v>520.06000000000006</v>
      </c>
      <c r="Z51" s="78">
        <f>Y51+Z50</f>
        <v>520.06000000000006</v>
      </c>
      <c r="AA51" s="78">
        <f>Z51+AA50</f>
        <v>520.06000000000006</v>
      </c>
      <c r="AB51" s="78">
        <f t="shared" si="180"/>
        <v>520.06000000000006</v>
      </c>
      <c r="AC51" s="78">
        <f t="shared" si="180"/>
        <v>520.06000000000006</v>
      </c>
      <c r="AD51" s="78">
        <f t="shared" si="180"/>
        <v>520.06000000000006</v>
      </c>
      <c r="AE51" s="78">
        <f t="shared" si="180"/>
        <v>520.06000000000006</v>
      </c>
      <c r="AF51" s="78">
        <f t="shared" ref="AF51" si="181">AE51+AF50</f>
        <v>651.58000000000004</v>
      </c>
      <c r="AG51" s="163">
        <f>AF51+AG50</f>
        <v>651.58000000000004</v>
      </c>
      <c r="AH51" s="8">
        <f>+AG51*1000</f>
        <v>651580</v>
      </c>
      <c r="AN51" s="6"/>
      <c r="AO51" s="6"/>
    </row>
    <row r="52" spans="1:41" s="5" customFormat="1" ht="18.75" customHeight="1" x14ac:dyDescent="0.25">
      <c r="A52" s="43"/>
      <c r="B52" s="46" t="s">
        <v>9</v>
      </c>
      <c r="C52" s="79">
        <f>+$AK$92/1000/31</f>
        <v>0</v>
      </c>
      <c r="D52" s="79">
        <f t="shared" ref="D52:AG52" si="182">+$AK$92/1000/31</f>
        <v>0</v>
      </c>
      <c r="E52" s="79">
        <f t="shared" si="182"/>
        <v>0</v>
      </c>
      <c r="F52" s="79">
        <f t="shared" si="182"/>
        <v>0</v>
      </c>
      <c r="G52" s="79">
        <f t="shared" si="182"/>
        <v>0</v>
      </c>
      <c r="H52" s="79">
        <f t="shared" si="182"/>
        <v>0</v>
      </c>
      <c r="I52" s="79">
        <f t="shared" si="182"/>
        <v>0</v>
      </c>
      <c r="J52" s="79">
        <f t="shared" si="182"/>
        <v>0</v>
      </c>
      <c r="K52" s="79">
        <f t="shared" si="182"/>
        <v>0</v>
      </c>
      <c r="L52" s="79">
        <f t="shared" si="182"/>
        <v>0</v>
      </c>
      <c r="M52" s="79">
        <f t="shared" si="182"/>
        <v>0</v>
      </c>
      <c r="N52" s="79">
        <f t="shared" si="182"/>
        <v>0</v>
      </c>
      <c r="O52" s="79">
        <f t="shared" si="182"/>
        <v>0</v>
      </c>
      <c r="P52" s="79">
        <f t="shared" si="182"/>
        <v>0</v>
      </c>
      <c r="Q52" s="79">
        <f t="shared" si="182"/>
        <v>0</v>
      </c>
      <c r="R52" s="79">
        <f t="shared" si="182"/>
        <v>0</v>
      </c>
      <c r="S52" s="79">
        <f t="shared" si="182"/>
        <v>0</v>
      </c>
      <c r="T52" s="79">
        <f t="shared" si="182"/>
        <v>0</v>
      </c>
      <c r="U52" s="79">
        <f t="shared" si="182"/>
        <v>0</v>
      </c>
      <c r="V52" s="79">
        <f t="shared" si="182"/>
        <v>0</v>
      </c>
      <c r="W52" s="79">
        <f t="shared" si="182"/>
        <v>0</v>
      </c>
      <c r="X52" s="79">
        <f t="shared" si="182"/>
        <v>0</v>
      </c>
      <c r="Y52" s="79">
        <f t="shared" si="182"/>
        <v>0</v>
      </c>
      <c r="Z52" s="79">
        <f t="shared" si="182"/>
        <v>0</v>
      </c>
      <c r="AA52" s="79">
        <f t="shared" si="182"/>
        <v>0</v>
      </c>
      <c r="AB52" s="79">
        <f t="shared" si="182"/>
        <v>0</v>
      </c>
      <c r="AC52" s="79">
        <f t="shared" si="182"/>
        <v>0</v>
      </c>
      <c r="AD52" s="79">
        <f t="shared" si="182"/>
        <v>0</v>
      </c>
      <c r="AE52" s="79">
        <f t="shared" si="182"/>
        <v>0</v>
      </c>
      <c r="AF52" s="79">
        <f t="shared" si="182"/>
        <v>0</v>
      </c>
      <c r="AG52" s="79">
        <f t="shared" si="182"/>
        <v>0</v>
      </c>
      <c r="AN52" s="6"/>
      <c r="AO52" s="6"/>
    </row>
    <row r="53" spans="1:41" s="7" customFormat="1" ht="18.75" customHeight="1" x14ac:dyDescent="0.25">
      <c r="A53" s="41" t="s">
        <v>64</v>
      </c>
      <c r="B53" s="44" t="s">
        <v>13</v>
      </c>
      <c r="C53" s="75">
        <f>+C52</f>
        <v>0</v>
      </c>
      <c r="D53" s="76">
        <f t="shared" ref="D53" si="183">C53+D52</f>
        <v>0</v>
      </c>
      <c r="E53" s="76">
        <f t="shared" ref="E53" si="184">D53+E52</f>
        <v>0</v>
      </c>
      <c r="F53" s="76">
        <f t="shared" ref="F53" si="185">E53+F52</f>
        <v>0</v>
      </c>
      <c r="G53" s="76">
        <f t="shared" ref="G53" si="186">F53+G52</f>
        <v>0</v>
      </c>
      <c r="H53" s="76">
        <f t="shared" ref="H53" si="187">G53+H52</f>
        <v>0</v>
      </c>
      <c r="I53" s="76">
        <f t="shared" ref="I53" si="188">H53+I52</f>
        <v>0</v>
      </c>
      <c r="J53" s="76">
        <f t="shared" ref="J53" si="189">I53+J52</f>
        <v>0</v>
      </c>
      <c r="K53" s="76">
        <f>J53+K52</f>
        <v>0</v>
      </c>
      <c r="L53" s="76">
        <f t="shared" ref="L53" si="190">K53+L52</f>
        <v>0</v>
      </c>
      <c r="M53" s="76">
        <f t="shared" ref="M53" si="191">L53+M52</f>
        <v>0</v>
      </c>
      <c r="N53" s="76">
        <f t="shared" ref="N53" si="192">M53+N52</f>
        <v>0</v>
      </c>
      <c r="O53" s="76">
        <f t="shared" ref="O53" si="193">N53+O52</f>
        <v>0</v>
      </c>
      <c r="P53" s="76">
        <f t="shared" ref="P53" si="194">O53+P52</f>
        <v>0</v>
      </c>
      <c r="Q53" s="76">
        <f t="shared" ref="Q53" si="195">P53+Q52</f>
        <v>0</v>
      </c>
      <c r="R53" s="76">
        <f t="shared" ref="R53" si="196">Q53+R52</f>
        <v>0</v>
      </c>
      <c r="S53" s="76">
        <f t="shared" ref="S53" si="197">R53+S52</f>
        <v>0</v>
      </c>
      <c r="T53" s="76">
        <f t="shared" ref="T53" si="198">S53+T52</f>
        <v>0</v>
      </c>
      <c r="U53" s="76">
        <f t="shared" ref="U53" si="199">T53+U52</f>
        <v>0</v>
      </c>
      <c r="V53" s="76">
        <f t="shared" ref="V53" si="200">U53+V52</f>
        <v>0</v>
      </c>
      <c r="W53" s="76">
        <f t="shared" ref="W53" si="201">V53+W52</f>
        <v>0</v>
      </c>
      <c r="X53" s="76">
        <f t="shared" ref="X53" si="202">W53+X52</f>
        <v>0</v>
      </c>
      <c r="Y53" s="76">
        <f t="shared" ref="Y53" si="203">X53+Y52</f>
        <v>0</v>
      </c>
      <c r="Z53" s="76">
        <f>Y53+Z52</f>
        <v>0</v>
      </c>
      <c r="AA53" s="76">
        <f>Z53+AA52</f>
        <v>0</v>
      </c>
      <c r="AB53" s="76">
        <f t="shared" ref="AB53" si="204">AA53+AB52</f>
        <v>0</v>
      </c>
      <c r="AC53" s="76">
        <f t="shared" ref="AC53" si="205">AB53+AC52</f>
        <v>0</v>
      </c>
      <c r="AD53" s="76">
        <f t="shared" ref="AD53" si="206">AC53+AD52</f>
        <v>0</v>
      </c>
      <c r="AE53" s="76">
        <f t="shared" ref="AE53" si="207">AD53+AE52</f>
        <v>0</v>
      </c>
      <c r="AF53" s="76">
        <f t="shared" ref="AF53" si="208">AE53+AF52</f>
        <v>0</v>
      </c>
      <c r="AG53" s="76">
        <f t="shared" ref="AG53" si="209">AF53+AG52</f>
        <v>0</v>
      </c>
      <c r="AH53" s="5"/>
      <c r="AI53" s="6"/>
      <c r="AJ53" s="35"/>
      <c r="AK53" s="6"/>
      <c r="AL53" s="6"/>
      <c r="AM53" s="6"/>
      <c r="AN53" s="6"/>
      <c r="AO53" s="6"/>
    </row>
    <row r="54" spans="1:41" s="6" customFormat="1" ht="18.75" customHeight="1" thickBot="1" x14ac:dyDescent="0.3">
      <c r="A54" s="41"/>
      <c r="B54" s="45" t="s">
        <v>15</v>
      </c>
      <c r="C54" s="80">
        <v>0</v>
      </c>
      <c r="D54" s="80">
        <v>0</v>
      </c>
      <c r="E54" s="80">
        <v>0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80">
        <v>0</v>
      </c>
      <c r="L54" s="80">
        <v>0</v>
      </c>
      <c r="M54" s="80">
        <v>0</v>
      </c>
      <c r="N54" s="80">
        <v>0</v>
      </c>
      <c r="O54" s="80">
        <v>0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  <c r="Y54" s="80">
        <v>0</v>
      </c>
      <c r="Z54" s="80">
        <v>0</v>
      </c>
      <c r="AA54" s="80">
        <v>0</v>
      </c>
      <c r="AB54" s="80">
        <v>0</v>
      </c>
      <c r="AC54" s="80">
        <v>0</v>
      </c>
      <c r="AD54" s="80">
        <v>0</v>
      </c>
      <c r="AE54" s="80">
        <v>0</v>
      </c>
      <c r="AF54" s="80">
        <v>0</v>
      </c>
      <c r="AG54" s="80">
        <v>0</v>
      </c>
      <c r="AH54" s="6">
        <f>+AG55-AG53</f>
        <v>0</v>
      </c>
      <c r="AJ54" s="35"/>
    </row>
    <row r="55" spans="1:41" s="8" customFormat="1" ht="18.75" customHeight="1" thickBot="1" x14ac:dyDescent="0.3">
      <c r="A55" s="38"/>
      <c r="B55" s="36" t="s">
        <v>17</v>
      </c>
      <c r="C55" s="77">
        <f>C54</f>
        <v>0</v>
      </c>
      <c r="D55" s="78">
        <f t="shared" ref="D55" si="210">C55+D54</f>
        <v>0</v>
      </c>
      <c r="E55" s="78">
        <f t="shared" ref="E55" si="211">D55+E54</f>
        <v>0</v>
      </c>
      <c r="F55" s="78">
        <f t="shared" ref="F55" si="212">E55+F54</f>
        <v>0</v>
      </c>
      <c r="G55" s="78">
        <f t="shared" ref="G55" si="213">F55+G54</f>
        <v>0</v>
      </c>
      <c r="H55" s="78">
        <f>G55+H54</f>
        <v>0</v>
      </c>
      <c r="I55" s="78">
        <f t="shared" ref="I55" si="214">H55+I54</f>
        <v>0</v>
      </c>
      <c r="J55" s="78">
        <f>I55+J54</f>
        <v>0</v>
      </c>
      <c r="K55" s="78">
        <f t="shared" ref="K55" si="215">J55+K54</f>
        <v>0</v>
      </c>
      <c r="L55" s="78">
        <f t="shared" ref="L55" si="216">K55+L54</f>
        <v>0</v>
      </c>
      <c r="M55" s="78">
        <f t="shared" ref="M55" si="217">L55+M54</f>
        <v>0</v>
      </c>
      <c r="N55" s="78">
        <f t="shared" ref="N55" si="218">M55+N54</f>
        <v>0</v>
      </c>
      <c r="O55" s="78">
        <f t="shared" ref="O55" si="219">N55+O54</f>
        <v>0</v>
      </c>
      <c r="P55" s="78">
        <f t="shared" ref="P55" si="220">O55+P54</f>
        <v>0</v>
      </c>
      <c r="Q55" s="78">
        <f t="shared" ref="Q55" si="221">P55+Q54</f>
        <v>0</v>
      </c>
      <c r="R55" s="78">
        <f t="shared" ref="R55" si="222">Q55+R54</f>
        <v>0</v>
      </c>
      <c r="S55" s="78">
        <f t="shared" ref="S55" si="223">R55+S54</f>
        <v>0</v>
      </c>
      <c r="T55" s="78">
        <f t="shared" ref="T55" si="224">S55+T54</f>
        <v>0</v>
      </c>
      <c r="U55" s="78">
        <f t="shared" ref="U55" si="225">T55+U54</f>
        <v>0</v>
      </c>
      <c r="V55" s="78">
        <f t="shared" ref="V55" si="226">U55+V54</f>
        <v>0</v>
      </c>
      <c r="W55" s="78">
        <f t="shared" ref="W55" si="227">V55+W54</f>
        <v>0</v>
      </c>
      <c r="X55" s="78">
        <f>W55+X54</f>
        <v>0</v>
      </c>
      <c r="Y55" s="78">
        <f t="shared" ref="Y55" si="228">X55+Y54</f>
        <v>0</v>
      </c>
      <c r="Z55" s="78">
        <f>Y55+Z54</f>
        <v>0</v>
      </c>
      <c r="AA55" s="78">
        <f>Z55+AA54</f>
        <v>0</v>
      </c>
      <c r="AB55" s="78">
        <f t="shared" ref="AB55" si="229">AA55+AB54</f>
        <v>0</v>
      </c>
      <c r="AC55" s="78">
        <f t="shared" ref="AC55" si="230">AB55+AC54</f>
        <v>0</v>
      </c>
      <c r="AD55" s="78">
        <f t="shared" ref="AD55" si="231">AC55+AD54</f>
        <v>0</v>
      </c>
      <c r="AE55" s="78">
        <f t="shared" ref="AE55" si="232">AD55+AE54</f>
        <v>0</v>
      </c>
      <c r="AF55" s="78">
        <f t="shared" ref="AF55" si="233">AE55+AF54</f>
        <v>0</v>
      </c>
      <c r="AG55" s="163">
        <f t="shared" ref="AG55" si="234">AF55+AG54</f>
        <v>0</v>
      </c>
      <c r="AH55" s="8">
        <f>+AG55*1000</f>
        <v>0</v>
      </c>
      <c r="AI55" s="6"/>
      <c r="AJ55" s="35"/>
      <c r="AK55" s="6"/>
      <c r="AL55" s="6"/>
      <c r="AM55" s="6"/>
      <c r="AN55" s="6"/>
      <c r="AO55" s="6"/>
    </row>
    <row r="56" spans="1:41" s="1" customFormat="1" ht="9" customHeight="1" thickBot="1" x14ac:dyDescent="0.3">
      <c r="A56" s="3"/>
      <c r="B56" s="62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I56" s="6"/>
      <c r="AJ56" s="35"/>
      <c r="AK56" s="6"/>
      <c r="AL56" s="6"/>
      <c r="AM56" s="6"/>
      <c r="AN56" s="6"/>
      <c r="AO56" s="6"/>
    </row>
    <row r="57" spans="1:41" s="5" customFormat="1" ht="18.75" customHeight="1" x14ac:dyDescent="0.25">
      <c r="A57" s="190" t="s">
        <v>32</v>
      </c>
      <c r="B57" s="48" t="s">
        <v>9</v>
      </c>
      <c r="C57" s="82">
        <f>SUMIF($B$8:$B$55,$B$57,C8:C55)</f>
        <v>1807.2290893681024</v>
      </c>
      <c r="D57" s="82">
        <f>SUMIF($B$8:$B$55,$B$57,D8:D55)</f>
        <v>1807.2290893681024</v>
      </c>
      <c r="E57" s="82">
        <f t="shared" ref="E57:AG57" si="235">SUMIF($B$8:$B$55,$B$57,E8:E55)</f>
        <v>1807.2290893681024</v>
      </c>
      <c r="F57" s="82">
        <f t="shared" si="235"/>
        <v>1807.2290893681024</v>
      </c>
      <c r="G57" s="82">
        <f t="shared" si="235"/>
        <v>1807.2290893681024</v>
      </c>
      <c r="H57" s="82">
        <f t="shared" si="235"/>
        <v>1807.2290893681024</v>
      </c>
      <c r="I57" s="82">
        <f t="shared" si="235"/>
        <v>1807.2290893681024</v>
      </c>
      <c r="J57" s="82">
        <f t="shared" si="235"/>
        <v>1807.2290893681024</v>
      </c>
      <c r="K57" s="82">
        <f t="shared" si="235"/>
        <v>1807.2290893681024</v>
      </c>
      <c r="L57" s="82">
        <f t="shared" si="235"/>
        <v>1807.2290893681024</v>
      </c>
      <c r="M57" s="82">
        <f t="shared" si="235"/>
        <v>1807.2290893681024</v>
      </c>
      <c r="N57" s="82">
        <f t="shared" si="235"/>
        <v>1807.2290893681024</v>
      </c>
      <c r="O57" s="82">
        <f t="shared" si="235"/>
        <v>1807.2290893681024</v>
      </c>
      <c r="P57" s="82">
        <f t="shared" si="235"/>
        <v>1807.2290893681024</v>
      </c>
      <c r="Q57" s="82">
        <f t="shared" si="235"/>
        <v>1807.2290893681024</v>
      </c>
      <c r="R57" s="82">
        <f t="shared" si="235"/>
        <v>1807.2290893681024</v>
      </c>
      <c r="S57" s="82">
        <f t="shared" si="235"/>
        <v>1807.2290893681024</v>
      </c>
      <c r="T57" s="82">
        <f t="shared" si="235"/>
        <v>1807.2290893681024</v>
      </c>
      <c r="U57" s="82">
        <f t="shared" si="235"/>
        <v>1807.2290893681024</v>
      </c>
      <c r="V57" s="82">
        <f t="shared" si="235"/>
        <v>1807.2290893681024</v>
      </c>
      <c r="W57" s="82">
        <f t="shared" si="235"/>
        <v>1807.2290893681024</v>
      </c>
      <c r="X57" s="82">
        <f t="shared" si="235"/>
        <v>1807.2290893681024</v>
      </c>
      <c r="Y57" s="82">
        <f t="shared" si="235"/>
        <v>1807.2290893681024</v>
      </c>
      <c r="Z57" s="82">
        <f>SUMIF($B$8:$B$55,$B$57,Z8:Z55)</f>
        <v>1807.2290893681024</v>
      </c>
      <c r="AA57" s="82">
        <f t="shared" si="235"/>
        <v>1807.2290893681024</v>
      </c>
      <c r="AB57" s="82">
        <f t="shared" si="235"/>
        <v>1807.2290893681024</v>
      </c>
      <c r="AC57" s="82">
        <f t="shared" si="235"/>
        <v>1807.2290893681024</v>
      </c>
      <c r="AD57" s="82">
        <f t="shared" si="235"/>
        <v>1807.2290893681024</v>
      </c>
      <c r="AE57" s="82">
        <f t="shared" si="235"/>
        <v>1807.2290893681024</v>
      </c>
      <c r="AF57" s="82">
        <f t="shared" si="235"/>
        <v>1807.2290893681024</v>
      </c>
      <c r="AG57" s="82">
        <f t="shared" si="235"/>
        <v>1807.2290893681024</v>
      </c>
      <c r="AI57" s="6"/>
      <c r="AJ57" s="35"/>
      <c r="AK57" s="6"/>
      <c r="AL57" s="6"/>
      <c r="AM57" s="6"/>
      <c r="AN57" s="6"/>
      <c r="AO57" s="6"/>
    </row>
    <row r="58" spans="1:41" s="7" customFormat="1" ht="20.25" customHeight="1" x14ac:dyDescent="0.25">
      <c r="A58" s="191"/>
      <c r="B58" s="49" t="s">
        <v>13</v>
      </c>
      <c r="C58" s="83">
        <f>C57</f>
        <v>1807.2290893681024</v>
      </c>
      <c r="D58" s="84">
        <f>C58+D57</f>
        <v>3614.4581787362049</v>
      </c>
      <c r="E58" s="84">
        <f t="shared" ref="E58" si="236">D58+E57</f>
        <v>5421.6872681043078</v>
      </c>
      <c r="F58" s="84">
        <f t="shared" ref="F58" si="237">E58+F57</f>
        <v>7228.9163574724098</v>
      </c>
      <c r="G58" s="84">
        <f t="shared" ref="G58" si="238">F58+G57</f>
        <v>9036.1454468405118</v>
      </c>
      <c r="H58" s="84">
        <f t="shared" ref="H58" si="239">G58+H57</f>
        <v>10843.374536208614</v>
      </c>
      <c r="I58" s="84">
        <f t="shared" ref="I58" si="240">H58+I57</f>
        <v>12650.603625576716</v>
      </c>
      <c r="J58" s="84">
        <f t="shared" ref="J58" si="241">I58+J57</f>
        <v>14457.832714944818</v>
      </c>
      <c r="K58" s="84">
        <f t="shared" ref="K58" si="242">J58+K57</f>
        <v>16265.06180431292</v>
      </c>
      <c r="L58" s="84">
        <f>K58+L57</f>
        <v>18072.290893681024</v>
      </c>
      <c r="M58" s="84">
        <f>L58+M57</f>
        <v>19879.519983049126</v>
      </c>
      <c r="N58" s="84">
        <f t="shared" ref="N58" si="243">M58+N57</f>
        <v>21686.749072417228</v>
      </c>
      <c r="O58" s="84">
        <f t="shared" ref="O58" si="244">N58+O57</f>
        <v>23493.97816178533</v>
      </c>
      <c r="P58" s="84">
        <f t="shared" ref="P58" si="245">O58+P57</f>
        <v>25301.207251153432</v>
      </c>
      <c r="Q58" s="84">
        <f t="shared" ref="Q58" si="246">P58+Q57</f>
        <v>27108.436340521534</v>
      </c>
      <c r="R58" s="84">
        <f t="shared" ref="R58" si="247">Q58+R57</f>
        <v>28915.665429889636</v>
      </c>
      <c r="S58" s="84">
        <f t="shared" ref="S58" si="248">R58+S57</f>
        <v>30722.894519257738</v>
      </c>
      <c r="T58" s="84">
        <f t="shared" ref="T58" si="249">S58+T57</f>
        <v>32530.12360862584</v>
      </c>
      <c r="U58" s="84">
        <f t="shared" ref="U58" si="250">T58+U57</f>
        <v>34337.352697993942</v>
      </c>
      <c r="V58" s="84">
        <f t="shared" ref="V58" si="251">U58+V57</f>
        <v>36144.581787362047</v>
      </c>
      <c r="W58" s="84">
        <f t="shared" ref="W58" si="252">V58+W57</f>
        <v>37951.810876730153</v>
      </c>
      <c r="X58" s="84">
        <f t="shared" ref="X58" si="253">W58+X57</f>
        <v>39759.039966098258</v>
      </c>
      <c r="Y58" s="84">
        <f t="shared" ref="Y58" si="254">X58+Y57</f>
        <v>41566.269055466364</v>
      </c>
      <c r="Z58" s="84">
        <f>Y58+Z57</f>
        <v>43373.49814483447</v>
      </c>
      <c r="AA58" s="84">
        <f>Z58+AA57</f>
        <v>45180.727234202575</v>
      </c>
      <c r="AB58" s="84">
        <f t="shared" ref="AB58" si="255">AA58+AB57</f>
        <v>46987.956323570681</v>
      </c>
      <c r="AC58" s="84">
        <f t="shared" ref="AC58" si="256">AB58+AC57</f>
        <v>48795.185412938787</v>
      </c>
      <c r="AD58" s="84">
        <f t="shared" ref="AD58" si="257">AC58+AD57</f>
        <v>50602.414502306892</v>
      </c>
      <c r="AE58" s="84">
        <f t="shared" ref="AE58" si="258">AD58+AE57</f>
        <v>52409.643591674998</v>
      </c>
      <c r="AF58" s="84">
        <f t="shared" ref="AF58" si="259">AE58+AF57</f>
        <v>54216.872681043104</v>
      </c>
      <c r="AG58" s="84">
        <f t="shared" ref="AG58" si="260">AF58+AG57</f>
        <v>56024.101770411209</v>
      </c>
      <c r="AH58" s="7" t="s">
        <v>3</v>
      </c>
      <c r="AI58" s="6">
        <f>+AG58/1000</f>
        <v>56.024101770411207</v>
      </c>
      <c r="AJ58" s="35"/>
      <c r="AK58" s="6"/>
      <c r="AL58" s="6"/>
      <c r="AM58" s="6"/>
      <c r="AN58" s="6"/>
      <c r="AO58" s="6"/>
    </row>
    <row r="59" spans="1:41" s="7" customFormat="1" ht="20.25" customHeight="1" x14ac:dyDescent="0.25">
      <c r="A59" s="191"/>
      <c r="B59" s="131" t="s">
        <v>57</v>
      </c>
      <c r="C59" s="130">
        <f>+$AJ$96/31/1000</f>
        <v>2210.3621529953916</v>
      </c>
      <c r="D59" s="130">
        <f>+$AJ$96/31/1000</f>
        <v>2210.3621529953916</v>
      </c>
      <c r="E59" s="130">
        <f t="shared" ref="E59:AG59" si="261">+$AJ$96/31/1000</f>
        <v>2210.3621529953916</v>
      </c>
      <c r="F59" s="130">
        <f t="shared" si="261"/>
        <v>2210.3621529953916</v>
      </c>
      <c r="G59" s="130">
        <f t="shared" si="261"/>
        <v>2210.3621529953916</v>
      </c>
      <c r="H59" s="130">
        <f t="shared" si="261"/>
        <v>2210.3621529953916</v>
      </c>
      <c r="I59" s="130">
        <f t="shared" si="261"/>
        <v>2210.3621529953916</v>
      </c>
      <c r="J59" s="130">
        <f t="shared" si="261"/>
        <v>2210.3621529953916</v>
      </c>
      <c r="K59" s="130">
        <f t="shared" si="261"/>
        <v>2210.3621529953916</v>
      </c>
      <c r="L59" s="130">
        <f t="shared" si="261"/>
        <v>2210.3621529953916</v>
      </c>
      <c r="M59" s="130">
        <f t="shared" si="261"/>
        <v>2210.3621529953916</v>
      </c>
      <c r="N59" s="130">
        <f t="shared" si="261"/>
        <v>2210.3621529953916</v>
      </c>
      <c r="O59" s="130">
        <f t="shared" si="261"/>
        <v>2210.3621529953916</v>
      </c>
      <c r="P59" s="130">
        <f t="shared" si="261"/>
        <v>2210.3621529953916</v>
      </c>
      <c r="Q59" s="130">
        <f t="shared" si="261"/>
        <v>2210.3621529953916</v>
      </c>
      <c r="R59" s="130">
        <f t="shared" si="261"/>
        <v>2210.3621529953916</v>
      </c>
      <c r="S59" s="130">
        <f t="shared" si="261"/>
        <v>2210.3621529953916</v>
      </c>
      <c r="T59" s="130">
        <f t="shared" si="261"/>
        <v>2210.3621529953916</v>
      </c>
      <c r="U59" s="130">
        <f t="shared" si="261"/>
        <v>2210.3621529953916</v>
      </c>
      <c r="V59" s="130">
        <f t="shared" si="261"/>
        <v>2210.3621529953916</v>
      </c>
      <c r="W59" s="130">
        <f t="shared" si="261"/>
        <v>2210.3621529953916</v>
      </c>
      <c r="X59" s="130">
        <f t="shared" si="261"/>
        <v>2210.3621529953916</v>
      </c>
      <c r="Y59" s="130">
        <f t="shared" si="261"/>
        <v>2210.3621529953916</v>
      </c>
      <c r="Z59" s="130">
        <f t="shared" si="261"/>
        <v>2210.3621529953916</v>
      </c>
      <c r="AA59" s="130">
        <f t="shared" si="261"/>
        <v>2210.3621529953916</v>
      </c>
      <c r="AB59" s="130">
        <f t="shared" si="261"/>
        <v>2210.3621529953916</v>
      </c>
      <c r="AC59" s="130">
        <f t="shared" si="261"/>
        <v>2210.3621529953916</v>
      </c>
      <c r="AD59" s="130">
        <f t="shared" si="261"/>
        <v>2210.3621529953916</v>
      </c>
      <c r="AE59" s="130">
        <f t="shared" si="261"/>
        <v>2210.3621529953916</v>
      </c>
      <c r="AF59" s="130">
        <f t="shared" si="261"/>
        <v>2210.3621529953916</v>
      </c>
      <c r="AG59" s="130">
        <f t="shared" si="261"/>
        <v>2210.3621529953916</v>
      </c>
      <c r="AI59" s="6"/>
      <c r="AJ59" s="35"/>
      <c r="AK59" s="6"/>
      <c r="AL59" s="6"/>
      <c r="AM59" s="6"/>
      <c r="AN59" s="6"/>
      <c r="AO59" s="6"/>
    </row>
    <row r="60" spans="1:41" s="7" customFormat="1" ht="20.25" customHeight="1" x14ac:dyDescent="0.25">
      <c r="A60" s="191"/>
      <c r="B60" s="49" t="s">
        <v>56</v>
      </c>
      <c r="C60" s="83">
        <f>C59</f>
        <v>2210.3621529953916</v>
      </c>
      <c r="D60" s="84">
        <f>C60+D59</f>
        <v>4420.7243059907833</v>
      </c>
      <c r="E60" s="84">
        <f t="shared" ref="E60" si="262">D60+E59</f>
        <v>6631.0864589861749</v>
      </c>
      <c r="F60" s="84">
        <f t="shared" ref="F60" si="263">E60+F59</f>
        <v>8841.4486119815665</v>
      </c>
      <c r="G60" s="84">
        <f t="shared" ref="G60" si="264">F60+G59</f>
        <v>11051.810764976959</v>
      </c>
      <c r="H60" s="84">
        <f t="shared" ref="H60" si="265">G60+H59</f>
        <v>13262.172917972352</v>
      </c>
      <c r="I60" s="84">
        <f t="shared" ref="I60" si="266">H60+I59</f>
        <v>15472.535070967744</v>
      </c>
      <c r="J60" s="84">
        <f t="shared" ref="J60" si="267">I60+J59</f>
        <v>17682.897223963137</v>
      </c>
      <c r="K60" s="84">
        <f t="shared" ref="K60" si="268">J60+K59</f>
        <v>19893.259376958529</v>
      </c>
      <c r="L60" s="84">
        <f>K60+L59</f>
        <v>22103.621529953922</v>
      </c>
      <c r="M60" s="84">
        <f t="shared" ref="M60" si="269">L60+M59</f>
        <v>24313.983682949314</v>
      </c>
      <c r="N60" s="84">
        <f t="shared" ref="N60" si="270">M60+N59</f>
        <v>26524.345835944707</v>
      </c>
      <c r="O60" s="84">
        <f t="shared" ref="O60" si="271">N60+O59</f>
        <v>28734.707988940099</v>
      </c>
      <c r="P60" s="84">
        <f t="shared" ref="P60" si="272">O60+P59</f>
        <v>30945.070141935492</v>
      </c>
      <c r="Q60" s="84">
        <f t="shared" ref="Q60" si="273">P60+Q59</f>
        <v>33155.432294930884</v>
      </c>
      <c r="R60" s="84">
        <f t="shared" ref="R60" si="274">Q60+R59</f>
        <v>35365.794447926273</v>
      </c>
      <c r="S60" s="84">
        <f t="shared" ref="S60" si="275">R60+S59</f>
        <v>37576.156600921662</v>
      </c>
      <c r="T60" s="84">
        <f t="shared" ref="T60" si="276">S60+T59</f>
        <v>39786.518753917051</v>
      </c>
      <c r="U60" s="84">
        <f t="shared" ref="U60" si="277">T60+U59</f>
        <v>41996.88090691244</v>
      </c>
      <c r="V60" s="84">
        <f t="shared" ref="V60" si="278">U60+V59</f>
        <v>44207.243059907829</v>
      </c>
      <c r="W60" s="84">
        <f t="shared" ref="W60" si="279">V60+W59</f>
        <v>46417.605212903218</v>
      </c>
      <c r="X60" s="84">
        <f t="shared" ref="X60" si="280">W60+X59</f>
        <v>48627.967365898607</v>
      </c>
      <c r="Y60" s="84">
        <f t="shared" ref="Y60" si="281">X60+Y59</f>
        <v>50838.329518893996</v>
      </c>
      <c r="Z60" s="84">
        <f>Y60+Z59</f>
        <v>53048.691671889384</v>
      </c>
      <c r="AA60" s="84">
        <f>Z60+AA59</f>
        <v>55259.053824884773</v>
      </c>
      <c r="AB60" s="84">
        <f t="shared" ref="AB60" si="282">AA60+AB59</f>
        <v>57469.415977880162</v>
      </c>
      <c r="AC60" s="84">
        <f t="shared" ref="AC60" si="283">AB60+AC59</f>
        <v>59679.778130875551</v>
      </c>
      <c r="AD60" s="84">
        <f t="shared" ref="AD60" si="284">AC60+AD59</f>
        <v>61890.14028387094</v>
      </c>
      <c r="AE60" s="84">
        <f>AD60+AE59</f>
        <v>64100.502436866329</v>
      </c>
      <c r="AF60" s="84">
        <f t="shared" ref="AF60" si="285">AE60+AF59</f>
        <v>66310.864589861725</v>
      </c>
      <c r="AG60" s="84">
        <f t="shared" ref="AG60" si="286">AF60+AG59</f>
        <v>68521.226742857121</v>
      </c>
      <c r="AH60" s="7" t="s">
        <v>3</v>
      </c>
      <c r="AI60" s="6">
        <f>+AG60/1000</f>
        <v>68.521226742857124</v>
      </c>
      <c r="AJ60" s="35"/>
      <c r="AK60" s="6"/>
      <c r="AL60" s="6"/>
      <c r="AM60" s="6"/>
      <c r="AN60" s="6"/>
      <c r="AO60" s="6"/>
    </row>
    <row r="61" spans="1:41" s="6" customFormat="1" ht="21" customHeight="1" thickBot="1" x14ac:dyDescent="0.3">
      <c r="A61" s="191"/>
      <c r="B61" s="107" t="s">
        <v>15</v>
      </c>
      <c r="C61" s="108">
        <f>SUMIF($B$8:$B$55,$B$61,C8:C55)</f>
        <v>1493.5224718869999</v>
      </c>
      <c r="D61" s="108">
        <f>SUMIF($B$8:$B$55,$B$61,D8:D55)</f>
        <v>2616.5072669319998</v>
      </c>
      <c r="E61" s="108">
        <f t="shared" ref="E61:AG61" si="287">SUMIF($B$8:$B$55,$B$61,E8:E55)</f>
        <v>1090.3173758830001</v>
      </c>
      <c r="F61" s="108">
        <f t="shared" si="287"/>
        <v>2058.1895477180001</v>
      </c>
      <c r="G61" s="108">
        <f t="shared" si="287"/>
        <v>2643.9207347910005</v>
      </c>
      <c r="H61" s="108">
        <f t="shared" si="287"/>
        <v>1639.9224676360004</v>
      </c>
      <c r="I61" s="108">
        <f t="shared" si="287"/>
        <v>1747.7905315789999</v>
      </c>
      <c r="J61" s="108">
        <f t="shared" si="287"/>
        <v>1552.4778552839998</v>
      </c>
      <c r="K61" s="108">
        <f t="shared" si="287"/>
        <v>4396.9582152389994</v>
      </c>
      <c r="L61" s="108">
        <f t="shared" si="287"/>
        <v>1730.0054342739995</v>
      </c>
      <c r="M61" s="108">
        <f t="shared" si="287"/>
        <v>1994.7372055699998</v>
      </c>
      <c r="N61" s="108">
        <f t="shared" si="287"/>
        <v>1762.3333979849999</v>
      </c>
      <c r="O61" s="108">
        <f t="shared" si="287"/>
        <v>1601.3132604689999</v>
      </c>
      <c r="P61" s="108">
        <f t="shared" si="287"/>
        <v>1524.330276486</v>
      </c>
      <c r="Q61" s="108">
        <f t="shared" si="287"/>
        <v>1598.7575722510001</v>
      </c>
      <c r="R61" s="108">
        <f t="shared" si="287"/>
        <v>3458.8576974430002</v>
      </c>
      <c r="S61" s="108">
        <f t="shared" si="287"/>
        <v>1683.4268465690004</v>
      </c>
      <c r="T61" s="108">
        <f t="shared" si="287"/>
        <v>2094.5826627299998</v>
      </c>
      <c r="U61" s="108">
        <f t="shared" si="287"/>
        <v>1569.2449869980003</v>
      </c>
      <c r="V61" s="108">
        <f t="shared" si="287"/>
        <v>1732.1367583760002</v>
      </c>
      <c r="W61" s="108">
        <f t="shared" si="287"/>
        <v>1694.7415903880001</v>
      </c>
      <c r="X61" s="108">
        <f t="shared" si="287"/>
        <v>1668.1754660480001</v>
      </c>
      <c r="Y61" s="108">
        <f t="shared" si="287"/>
        <v>3775.3492026840004</v>
      </c>
      <c r="Z61" s="108">
        <f>SUMIF($B$8:$B$55,$B$61,Z8:Z55)</f>
        <v>2055.8905416139996</v>
      </c>
      <c r="AA61" s="108">
        <f t="shared" si="287"/>
        <v>1612.9881570889997</v>
      </c>
      <c r="AB61" s="108">
        <f t="shared" si="287"/>
        <v>2371.6126602790005</v>
      </c>
      <c r="AC61" s="108">
        <f t="shared" si="287"/>
        <v>1883.0928088339997</v>
      </c>
      <c r="AD61" s="108">
        <f t="shared" si="287"/>
        <v>1739.7037037059995</v>
      </c>
      <c r="AE61" s="108">
        <f t="shared" si="287"/>
        <v>1618.4114755559997</v>
      </c>
      <c r="AF61" s="108">
        <f t="shared" si="287"/>
        <v>6799.6086746030041</v>
      </c>
      <c r="AG61" s="108">
        <f t="shared" si="287"/>
        <v>1476.4089156189998</v>
      </c>
      <c r="AJ61" s="35"/>
    </row>
    <row r="62" spans="1:41" s="8" customFormat="1" ht="21.75" customHeight="1" thickBot="1" x14ac:dyDescent="0.3">
      <c r="A62" s="192"/>
      <c r="B62" s="36" t="s">
        <v>17</v>
      </c>
      <c r="C62" s="85">
        <f>C61</f>
        <v>1493.5224718869999</v>
      </c>
      <c r="D62" s="86">
        <f>C62+D61</f>
        <v>4110.0297388189992</v>
      </c>
      <c r="E62" s="86">
        <f t="shared" ref="E62:K62" si="288">D62+E61</f>
        <v>5200.3471147019991</v>
      </c>
      <c r="F62" s="86">
        <f t="shared" si="288"/>
        <v>7258.5366624199996</v>
      </c>
      <c r="G62" s="86">
        <f t="shared" si="288"/>
        <v>9902.4573972110011</v>
      </c>
      <c r="H62" s="86">
        <f>G62+H61</f>
        <v>11542.379864847002</v>
      </c>
      <c r="I62" s="86">
        <f>H62+I61</f>
        <v>13290.170396426001</v>
      </c>
      <c r="J62" s="86">
        <f>I62+J61</f>
        <v>14842.648251710001</v>
      </c>
      <c r="K62" s="86">
        <f t="shared" si="288"/>
        <v>19239.606466949001</v>
      </c>
      <c r="L62" s="86">
        <f t="shared" ref="L62" si="289">K62+L61</f>
        <v>20969.611901223001</v>
      </c>
      <c r="M62" s="86">
        <f>L62+M61</f>
        <v>22964.349106793001</v>
      </c>
      <c r="N62" s="86">
        <f t="shared" ref="N62" si="290">M62+N61</f>
        <v>24726.682504778</v>
      </c>
      <c r="O62" s="86">
        <f t="shared" ref="O62" si="291">N62+O61</f>
        <v>26327.995765247</v>
      </c>
      <c r="P62" s="86">
        <f t="shared" ref="P62" si="292">O62+P61</f>
        <v>27852.326041733002</v>
      </c>
      <c r="Q62" s="86">
        <f>P62+Q61</f>
        <v>29451.083613984003</v>
      </c>
      <c r="R62" s="86">
        <f t="shared" ref="R62" si="293">Q62+R61</f>
        <v>32909.941311427006</v>
      </c>
      <c r="S62" s="86">
        <f t="shared" ref="S62" si="294">R62+S61</f>
        <v>34593.36815799601</v>
      </c>
      <c r="T62" s="86">
        <f t="shared" ref="T62" si="295">S62+T61</f>
        <v>36687.950820726008</v>
      </c>
      <c r="U62" s="86">
        <f t="shared" ref="U62" si="296">T62+U61</f>
        <v>38257.195807724005</v>
      </c>
      <c r="V62" s="86">
        <f t="shared" ref="V62" si="297">U62+V61</f>
        <v>39989.332566100005</v>
      </c>
      <c r="W62" s="86">
        <f t="shared" ref="W62" si="298">V62+W61</f>
        <v>41684.074156488008</v>
      </c>
      <c r="X62" s="86">
        <f t="shared" ref="X62" si="299">W62+X61</f>
        <v>43352.249622536008</v>
      </c>
      <c r="Y62" s="86">
        <f t="shared" ref="Y62" si="300">X62+Y61</f>
        <v>47127.598825220011</v>
      </c>
      <c r="Z62" s="86">
        <f>Y62+Z61</f>
        <v>49183.489366834008</v>
      </c>
      <c r="AA62" s="86">
        <f>Z62+AA61</f>
        <v>50796.477523923008</v>
      </c>
      <c r="AB62" s="86">
        <f t="shared" ref="AB62" si="301">AA62+AB61</f>
        <v>53168.09018420201</v>
      </c>
      <c r="AC62" s="86">
        <f t="shared" ref="AC62" si="302">AB62+AC61</f>
        <v>55051.182993036011</v>
      </c>
      <c r="AD62" s="86">
        <f t="shared" ref="AD62" si="303">AC62+AD61</f>
        <v>56790.886696742011</v>
      </c>
      <c r="AE62" s="86">
        <f t="shared" ref="AE62" si="304">AD62+AE61</f>
        <v>58409.298172298011</v>
      </c>
      <c r="AF62" s="158">
        <f t="shared" ref="AF62" si="305">AE62+AF61</f>
        <v>65208.906846901016</v>
      </c>
      <c r="AG62" s="86">
        <f>AF62+AG61</f>
        <v>66685.315762520011</v>
      </c>
      <c r="AH62" s="8" t="s">
        <v>33</v>
      </c>
      <c r="AI62" s="6">
        <f>+AG62*1000</f>
        <v>66685315.762520008</v>
      </c>
      <c r="AJ62" s="35"/>
      <c r="AK62" s="6"/>
      <c r="AL62" s="6"/>
      <c r="AM62" s="6"/>
      <c r="AN62" s="6"/>
      <c r="AO62" s="6"/>
    </row>
    <row r="63" spans="1:41" s="1" customFormat="1" ht="22.8" thickBot="1" x14ac:dyDescent="0.3">
      <c r="A63" s="194"/>
      <c r="B63" s="194"/>
      <c r="C63" s="118">
        <f t="shared" ref="C63:H63" si="306">+C62/C58</f>
        <v>0.82641568834486279</v>
      </c>
      <c r="D63" s="118">
        <f t="shared" si="306"/>
        <v>1.1371081184444831</v>
      </c>
      <c r="E63" s="118">
        <f t="shared" si="306"/>
        <v>0.95917504229643624</v>
      </c>
      <c r="F63" s="118">
        <f t="shared" si="306"/>
        <v>1.0040974751239129</v>
      </c>
      <c r="G63" s="118">
        <f t="shared" si="306"/>
        <v>1.0958718466260848</v>
      </c>
      <c r="H63" s="118">
        <f t="shared" si="306"/>
        <v>1.064463818556137</v>
      </c>
      <c r="I63" s="118">
        <f t="shared" ref="I63:V63" si="307">+I62/I58</f>
        <v>1.0505562255982965</v>
      </c>
      <c r="J63" s="118">
        <f>+J62/J58</f>
        <v>1.0266164054013023</v>
      </c>
      <c r="K63" s="149">
        <f t="shared" si="307"/>
        <v>1.1828793950138778</v>
      </c>
      <c r="L63" s="118">
        <f t="shared" si="307"/>
        <v>1.1603184136746618</v>
      </c>
      <c r="M63" s="118">
        <f t="shared" si="307"/>
        <v>1.1551762379762816</v>
      </c>
      <c r="N63" s="118">
        <f t="shared" si="307"/>
        <v>1.1401746947967955</v>
      </c>
      <c r="O63" s="118">
        <f t="shared" si="307"/>
        <v>1.1206274043478686</v>
      </c>
      <c r="P63" s="118">
        <f t="shared" si="307"/>
        <v>1.1008299234600067</v>
      </c>
      <c r="Q63" s="118">
        <f>+Q62/Q58</f>
        <v>1.0864176466704092</v>
      </c>
      <c r="R63" s="118">
        <f t="shared" si="307"/>
        <v>1.1381353609593419</v>
      </c>
      <c r="S63" s="118">
        <f t="shared" si="307"/>
        <v>1.1259801102500997</v>
      </c>
      <c r="T63" s="118">
        <f>+T62/T58</f>
        <v>1.1278146760868029</v>
      </c>
      <c r="U63" s="118">
        <f t="shared" si="307"/>
        <v>1.1141568234513044</v>
      </c>
      <c r="V63" s="118">
        <f t="shared" si="307"/>
        <v>1.1063714279876458</v>
      </c>
      <c r="W63" s="118">
        <f t="shared" ref="W63" si="308">+W62/W58</f>
        <v>1.0983421658555499</v>
      </c>
      <c r="X63" s="118">
        <f>+X62/X58</f>
        <v>1.0903746584299221</v>
      </c>
      <c r="Y63" s="118">
        <f>+Y62/Y58</f>
        <v>1.1337942975428601</v>
      </c>
      <c r="Z63" s="118">
        <f>+Z62/Z58</f>
        <v>1.1339525625209796</v>
      </c>
      <c r="AA63" s="118">
        <f t="shared" ref="AA63:AG63" si="309">+AA62/AA58</f>
        <v>1.1242952611322559</v>
      </c>
      <c r="AB63" s="118">
        <f t="shared" si="309"/>
        <v>1.131525913110019</v>
      </c>
      <c r="AC63" s="118">
        <f t="shared" si="309"/>
        <v>1.1282093207998827</v>
      </c>
      <c r="AD63" s="118">
        <f t="shared" si="309"/>
        <v>1.1222959863733972</v>
      </c>
      <c r="AE63" s="118">
        <f>+AE62/AE58</f>
        <v>1.1144761568570565</v>
      </c>
      <c r="AF63" s="118">
        <f t="shared" si="309"/>
        <v>1.2027419440166505</v>
      </c>
      <c r="AG63" s="118">
        <f t="shared" si="309"/>
        <v>1.1902969196328901</v>
      </c>
      <c r="AH63" s="121">
        <f>+AG62/AG58</f>
        <v>1.1902969196328901</v>
      </c>
      <c r="AI63" s="6"/>
      <c r="AJ63" s="35"/>
      <c r="AK63" s="6"/>
      <c r="AL63" s="6"/>
      <c r="AM63" s="6"/>
      <c r="AN63" s="6"/>
      <c r="AO63" s="6"/>
    </row>
    <row r="64" spans="1:41" s="14" customFormat="1" ht="18.75" customHeight="1" x14ac:dyDescent="0.25">
      <c r="A64" s="50"/>
      <c r="B64" s="53"/>
      <c r="C64" s="88">
        <v>1</v>
      </c>
      <c r="D64" s="89">
        <f t="shared" ref="D64:AG64" si="310">+C64+1</f>
        <v>2</v>
      </c>
      <c r="E64" s="89">
        <f t="shared" si="310"/>
        <v>3</v>
      </c>
      <c r="F64" s="89">
        <f t="shared" si="310"/>
        <v>4</v>
      </c>
      <c r="G64" s="89">
        <f t="shared" si="310"/>
        <v>5</v>
      </c>
      <c r="H64" s="89">
        <f t="shared" si="310"/>
        <v>6</v>
      </c>
      <c r="I64" s="89">
        <f t="shared" si="310"/>
        <v>7</v>
      </c>
      <c r="J64" s="89">
        <f t="shared" si="310"/>
        <v>8</v>
      </c>
      <c r="K64" s="89">
        <f t="shared" si="310"/>
        <v>9</v>
      </c>
      <c r="L64" s="89">
        <f t="shared" si="310"/>
        <v>10</v>
      </c>
      <c r="M64" s="89">
        <f t="shared" si="310"/>
        <v>11</v>
      </c>
      <c r="N64" s="89">
        <f t="shared" si="310"/>
        <v>12</v>
      </c>
      <c r="O64" s="89">
        <f t="shared" si="310"/>
        <v>13</v>
      </c>
      <c r="P64" s="89">
        <f t="shared" si="310"/>
        <v>14</v>
      </c>
      <c r="Q64" s="89">
        <f t="shared" si="310"/>
        <v>15</v>
      </c>
      <c r="R64" s="89">
        <f t="shared" si="310"/>
        <v>16</v>
      </c>
      <c r="S64" s="89">
        <f t="shared" si="310"/>
        <v>17</v>
      </c>
      <c r="T64" s="89">
        <f t="shared" si="310"/>
        <v>18</v>
      </c>
      <c r="U64" s="89">
        <f t="shared" si="310"/>
        <v>19</v>
      </c>
      <c r="V64" s="89">
        <f t="shared" si="310"/>
        <v>20</v>
      </c>
      <c r="W64" s="89">
        <f t="shared" si="310"/>
        <v>21</v>
      </c>
      <c r="X64" s="89">
        <f t="shared" si="310"/>
        <v>22</v>
      </c>
      <c r="Y64" s="89">
        <f t="shared" si="310"/>
        <v>23</v>
      </c>
      <c r="Z64" s="89">
        <f>+Y64+1</f>
        <v>24</v>
      </c>
      <c r="AA64" s="89">
        <f>+Z64+1</f>
        <v>25</v>
      </c>
      <c r="AB64" s="89">
        <f t="shared" si="310"/>
        <v>26</v>
      </c>
      <c r="AC64" s="89">
        <f>+AB64+1</f>
        <v>27</v>
      </c>
      <c r="AD64" s="89">
        <f t="shared" si="310"/>
        <v>28</v>
      </c>
      <c r="AE64" s="89">
        <f t="shared" si="310"/>
        <v>29</v>
      </c>
      <c r="AF64" s="89">
        <f t="shared" si="310"/>
        <v>30</v>
      </c>
      <c r="AG64" s="89">
        <f t="shared" si="310"/>
        <v>31</v>
      </c>
      <c r="AI64" s="6"/>
      <c r="AJ64" s="35"/>
      <c r="AK64" s="6"/>
      <c r="AL64" s="6"/>
      <c r="AM64" s="6"/>
      <c r="AN64" s="6"/>
      <c r="AO64" s="6"/>
    </row>
    <row r="65" spans="1:41" s="15" customFormat="1" ht="18.75" customHeight="1" x14ac:dyDescent="0.25">
      <c r="A65" s="51" t="s">
        <v>35</v>
      </c>
      <c r="B65" s="54" t="s">
        <v>13</v>
      </c>
      <c r="C65" s="90">
        <f>C58</f>
        <v>1807.2290893681024</v>
      </c>
      <c r="D65" s="91">
        <f t="shared" ref="D65" si="311">D58</f>
        <v>3614.4581787362049</v>
      </c>
      <c r="E65" s="91">
        <f t="shared" ref="E65" si="312">E58</f>
        <v>5421.6872681043078</v>
      </c>
      <c r="F65" s="91">
        <f t="shared" ref="F65:AF65" si="313">F58</f>
        <v>7228.9163574724098</v>
      </c>
      <c r="G65" s="91">
        <f t="shared" si="313"/>
        <v>9036.1454468405118</v>
      </c>
      <c r="H65" s="91">
        <f t="shared" si="313"/>
        <v>10843.374536208614</v>
      </c>
      <c r="I65" s="91">
        <f t="shared" si="313"/>
        <v>12650.603625576716</v>
      </c>
      <c r="J65" s="91">
        <f t="shared" si="313"/>
        <v>14457.832714944818</v>
      </c>
      <c r="K65" s="91">
        <f t="shared" si="313"/>
        <v>16265.06180431292</v>
      </c>
      <c r="L65" s="91">
        <f t="shared" si="313"/>
        <v>18072.290893681024</v>
      </c>
      <c r="M65" s="91">
        <f t="shared" si="313"/>
        <v>19879.519983049126</v>
      </c>
      <c r="N65" s="91">
        <f t="shared" si="313"/>
        <v>21686.749072417228</v>
      </c>
      <c r="O65" s="91">
        <f t="shared" si="313"/>
        <v>23493.97816178533</v>
      </c>
      <c r="P65" s="91">
        <f t="shared" si="313"/>
        <v>25301.207251153432</v>
      </c>
      <c r="Q65" s="91">
        <f t="shared" si="313"/>
        <v>27108.436340521534</v>
      </c>
      <c r="R65" s="91">
        <f t="shared" si="313"/>
        <v>28915.665429889636</v>
      </c>
      <c r="S65" s="91">
        <f t="shared" si="313"/>
        <v>30722.894519257738</v>
      </c>
      <c r="T65" s="91">
        <f t="shared" si="313"/>
        <v>32530.12360862584</v>
      </c>
      <c r="U65" s="91">
        <f t="shared" si="313"/>
        <v>34337.352697993942</v>
      </c>
      <c r="V65" s="91">
        <f t="shared" si="313"/>
        <v>36144.581787362047</v>
      </c>
      <c r="W65" s="91">
        <f t="shared" si="313"/>
        <v>37951.810876730153</v>
      </c>
      <c r="X65" s="91">
        <f t="shared" si="313"/>
        <v>39759.039966098258</v>
      </c>
      <c r="Y65" s="91">
        <f t="shared" si="313"/>
        <v>41566.269055466364</v>
      </c>
      <c r="Z65" s="91">
        <f>Z58</f>
        <v>43373.49814483447</v>
      </c>
      <c r="AA65" s="91">
        <f t="shared" si="313"/>
        <v>45180.727234202575</v>
      </c>
      <c r="AB65" s="91">
        <f t="shared" si="313"/>
        <v>46987.956323570681</v>
      </c>
      <c r="AC65" s="91">
        <f t="shared" si="313"/>
        <v>48795.185412938787</v>
      </c>
      <c r="AD65" s="91">
        <f>AD58</f>
        <v>50602.414502306892</v>
      </c>
      <c r="AE65" s="91">
        <f t="shared" si="313"/>
        <v>52409.643591674998</v>
      </c>
      <c r="AF65" s="91">
        <f t="shared" si="313"/>
        <v>54216.872681043104</v>
      </c>
      <c r="AG65" s="91">
        <f>AG58</f>
        <v>56024.101770411209</v>
      </c>
      <c r="AH65" s="1">
        <f>+AG67/AG65%</f>
        <v>119.02969196328901</v>
      </c>
      <c r="AI65" s="6"/>
      <c r="AJ65" s="35"/>
      <c r="AK65" s="6"/>
      <c r="AL65" s="6"/>
      <c r="AM65" s="6"/>
      <c r="AN65" s="6"/>
      <c r="AO65" s="6"/>
    </row>
    <row r="66" spans="1:41" s="15" customFormat="1" ht="18.75" customHeight="1" x14ac:dyDescent="0.25">
      <c r="A66" s="51"/>
      <c r="B66" s="128" t="s">
        <v>56</v>
      </c>
      <c r="C66" s="129">
        <f>+C60</f>
        <v>2210.3621529953916</v>
      </c>
      <c r="D66" s="129">
        <f>+D60</f>
        <v>4420.7243059907833</v>
      </c>
      <c r="E66" s="129">
        <f t="shared" ref="E66" si="314">+E60</f>
        <v>6631.0864589861749</v>
      </c>
      <c r="F66" s="129">
        <f t="shared" ref="F66:AG66" si="315">+F60</f>
        <v>8841.4486119815665</v>
      </c>
      <c r="G66" s="129">
        <f t="shared" si="315"/>
        <v>11051.810764976959</v>
      </c>
      <c r="H66" s="129">
        <f t="shared" si="315"/>
        <v>13262.172917972352</v>
      </c>
      <c r="I66" s="129">
        <f t="shared" si="315"/>
        <v>15472.535070967744</v>
      </c>
      <c r="J66" s="129">
        <f t="shared" si="315"/>
        <v>17682.897223963137</v>
      </c>
      <c r="K66" s="129">
        <f t="shared" si="315"/>
        <v>19893.259376958529</v>
      </c>
      <c r="L66" s="129">
        <f t="shared" si="315"/>
        <v>22103.621529953922</v>
      </c>
      <c r="M66" s="129">
        <f t="shared" si="315"/>
        <v>24313.983682949314</v>
      </c>
      <c r="N66" s="129">
        <f t="shared" si="315"/>
        <v>26524.345835944707</v>
      </c>
      <c r="O66" s="129">
        <f t="shared" si="315"/>
        <v>28734.707988940099</v>
      </c>
      <c r="P66" s="129">
        <f t="shared" si="315"/>
        <v>30945.070141935492</v>
      </c>
      <c r="Q66" s="129">
        <f t="shared" si="315"/>
        <v>33155.432294930884</v>
      </c>
      <c r="R66" s="129">
        <f t="shared" si="315"/>
        <v>35365.794447926273</v>
      </c>
      <c r="S66" s="129">
        <f t="shared" si="315"/>
        <v>37576.156600921662</v>
      </c>
      <c r="T66" s="129">
        <f t="shared" si="315"/>
        <v>39786.518753917051</v>
      </c>
      <c r="U66" s="129">
        <f t="shared" si="315"/>
        <v>41996.88090691244</v>
      </c>
      <c r="V66" s="129">
        <f t="shared" si="315"/>
        <v>44207.243059907829</v>
      </c>
      <c r="W66" s="129">
        <f t="shared" si="315"/>
        <v>46417.605212903218</v>
      </c>
      <c r="X66" s="129">
        <f t="shared" si="315"/>
        <v>48627.967365898607</v>
      </c>
      <c r="Y66" s="129">
        <f t="shared" si="315"/>
        <v>50838.329518893996</v>
      </c>
      <c r="Z66" s="129">
        <f>+Z60</f>
        <v>53048.691671889384</v>
      </c>
      <c r="AA66" s="129">
        <f t="shared" si="315"/>
        <v>55259.053824884773</v>
      </c>
      <c r="AB66" s="129">
        <f t="shared" si="315"/>
        <v>57469.415977880162</v>
      </c>
      <c r="AC66" s="129">
        <f t="shared" si="315"/>
        <v>59679.778130875551</v>
      </c>
      <c r="AD66" s="129">
        <f t="shared" si="315"/>
        <v>61890.14028387094</v>
      </c>
      <c r="AE66" s="129">
        <f t="shared" si="315"/>
        <v>64100.502436866329</v>
      </c>
      <c r="AF66" s="129">
        <f t="shared" si="315"/>
        <v>66310.864589861725</v>
      </c>
      <c r="AG66" s="129">
        <f t="shared" si="315"/>
        <v>68521.226742857121</v>
      </c>
      <c r="AH66" s="1"/>
      <c r="AI66" s="6"/>
      <c r="AJ66" s="35"/>
      <c r="AK66" s="6"/>
      <c r="AL66" s="6"/>
      <c r="AM66" s="6"/>
      <c r="AN66" s="6"/>
      <c r="AO66" s="6"/>
    </row>
    <row r="67" spans="1:41" s="15" customFormat="1" ht="18.75" customHeight="1" thickBot="1" x14ac:dyDescent="0.3">
      <c r="A67" s="52" t="s">
        <v>37</v>
      </c>
      <c r="B67" s="55" t="s">
        <v>17</v>
      </c>
      <c r="C67" s="92">
        <f>C62</f>
        <v>1493.5224718869999</v>
      </c>
      <c r="D67" s="92">
        <f t="shared" ref="D67:M67" si="316">D62</f>
        <v>4110.0297388189992</v>
      </c>
      <c r="E67" s="92">
        <f t="shared" si="316"/>
        <v>5200.3471147019991</v>
      </c>
      <c r="F67" s="92">
        <f t="shared" si="316"/>
        <v>7258.5366624199996</v>
      </c>
      <c r="G67" s="92">
        <f t="shared" si="316"/>
        <v>9902.4573972110011</v>
      </c>
      <c r="H67" s="92">
        <f t="shared" si="316"/>
        <v>11542.379864847002</v>
      </c>
      <c r="I67" s="92">
        <f t="shared" si="316"/>
        <v>13290.170396426001</v>
      </c>
      <c r="J67" s="92">
        <f t="shared" si="316"/>
        <v>14842.648251710001</v>
      </c>
      <c r="K67" s="92">
        <f t="shared" si="316"/>
        <v>19239.606466949001</v>
      </c>
      <c r="L67" s="92">
        <f t="shared" si="316"/>
        <v>20969.611901223001</v>
      </c>
      <c r="M67" s="92">
        <f t="shared" si="316"/>
        <v>22964.349106793001</v>
      </c>
      <c r="N67" s="92">
        <f t="shared" ref="N67:Q67" si="317">N62</f>
        <v>24726.682504778</v>
      </c>
      <c r="O67" s="92">
        <f t="shared" si="317"/>
        <v>26327.995765247</v>
      </c>
      <c r="P67" s="92">
        <f t="shared" si="317"/>
        <v>27852.326041733002</v>
      </c>
      <c r="Q67" s="92">
        <f t="shared" si="317"/>
        <v>29451.083613984003</v>
      </c>
      <c r="R67" s="92">
        <f>R62</f>
        <v>32909.941311427006</v>
      </c>
      <c r="S67" s="92">
        <f>S62</f>
        <v>34593.36815799601</v>
      </c>
      <c r="T67" s="92">
        <f>T62</f>
        <v>36687.950820726008</v>
      </c>
      <c r="U67" s="92">
        <f>U62</f>
        <v>38257.195807724005</v>
      </c>
      <c r="V67" s="92">
        <f t="shared" ref="V67:W67" si="318">V62</f>
        <v>39989.332566100005</v>
      </c>
      <c r="W67" s="92">
        <f t="shared" si="318"/>
        <v>41684.074156488008</v>
      </c>
      <c r="X67" s="92">
        <f>X62</f>
        <v>43352.249622536008</v>
      </c>
      <c r="Y67" s="92">
        <f>Y62</f>
        <v>47127.598825220011</v>
      </c>
      <c r="Z67" s="92">
        <f>Z62</f>
        <v>49183.489366834008</v>
      </c>
      <c r="AA67" s="92">
        <f>AA62</f>
        <v>50796.477523923008</v>
      </c>
      <c r="AB67" s="92">
        <f>AB62</f>
        <v>53168.09018420201</v>
      </c>
      <c r="AC67" s="92">
        <f t="shared" ref="AC67:AE67" si="319">AC62</f>
        <v>55051.182993036011</v>
      </c>
      <c r="AD67" s="92">
        <f t="shared" si="319"/>
        <v>56790.886696742011</v>
      </c>
      <c r="AE67" s="92">
        <f t="shared" si="319"/>
        <v>58409.298172298011</v>
      </c>
      <c r="AF67" s="92">
        <f t="shared" ref="AF67:AG67" si="320">AF62</f>
        <v>65208.906846901016</v>
      </c>
      <c r="AG67" s="92">
        <f t="shared" si="320"/>
        <v>66685.315762520011</v>
      </c>
      <c r="AH67" s="109">
        <f>+AG67*1000</f>
        <v>66685315.762520008</v>
      </c>
      <c r="AI67" s="6"/>
      <c r="AJ67" s="35"/>
      <c r="AK67" s="6"/>
      <c r="AL67" s="6"/>
      <c r="AM67" s="6"/>
      <c r="AN67" s="6"/>
      <c r="AO67" s="6"/>
    </row>
    <row r="68" spans="1:41" s="1" customFormat="1" ht="15.6" thickBot="1" x14ac:dyDescent="0.3">
      <c r="A68" s="189" t="s">
        <v>38</v>
      </c>
      <c r="B68" s="189"/>
      <c r="C68" s="132">
        <f>C67/$AG$65</f>
        <v>2.6658570591769751E-2</v>
      </c>
      <c r="D68" s="132">
        <f t="shared" ref="D68:G68" si="321">D67/$AG$65</f>
        <v>7.336181409319241E-2</v>
      </c>
      <c r="E68" s="132">
        <f t="shared" si="321"/>
        <v>9.282339118997765E-2</v>
      </c>
      <c r="F68" s="132">
        <f t="shared" si="321"/>
        <v>0.12956096453211771</v>
      </c>
      <c r="G68" s="132">
        <f t="shared" si="321"/>
        <v>0.17675352364936842</v>
      </c>
      <c r="H68" s="132">
        <f t="shared" ref="H68:I68" si="322">H67/$AG$65</f>
        <v>0.20602525520441348</v>
      </c>
      <c r="I68" s="132">
        <f t="shared" si="322"/>
        <v>0.23722237352219586</v>
      </c>
      <c r="J68" s="132">
        <f>J67/$AG$65</f>
        <v>0.26493326591001332</v>
      </c>
      <c r="K68" s="132">
        <f>K67/$AG$65</f>
        <v>0.34341659855241591</v>
      </c>
      <c r="L68" s="132">
        <f>L67/$AG$65</f>
        <v>0.37429626247569708</v>
      </c>
      <c r="M68" s="132">
        <f>M67/$AG$65</f>
        <v>0.40990124573351899</v>
      </c>
      <c r="N68" s="132">
        <f>N67/$AG$65</f>
        <v>0.44135794637295278</v>
      </c>
      <c r="O68" s="132">
        <f t="shared" ref="O68:Q68" si="323">O67/$AG$65</f>
        <v>0.46994052440394452</v>
      </c>
      <c r="P68" s="132">
        <f t="shared" si="323"/>
        <v>0.49714899769161564</v>
      </c>
      <c r="Q68" s="132">
        <f t="shared" si="323"/>
        <v>0.52568595806632668</v>
      </c>
      <c r="R68" s="132">
        <f t="shared" ref="R68" si="324">R67/$AG$65</f>
        <v>0.58742470243062772</v>
      </c>
      <c r="S68" s="132">
        <f t="shared" ref="S68" si="325">S67/$AG$65</f>
        <v>0.61747296368553806</v>
      </c>
      <c r="T68" s="132">
        <f t="shared" ref="T68" si="326">T67/$AG$65</f>
        <v>0.65486013450201408</v>
      </c>
      <c r="U68" s="132">
        <f t="shared" ref="U68:W68" si="327">U67/$AG$65</f>
        <v>0.68287031114757313</v>
      </c>
      <c r="V68" s="132">
        <f t="shared" si="327"/>
        <v>0.71378801805654524</v>
      </c>
      <c r="W68" s="132">
        <f t="shared" si="327"/>
        <v>0.74403824138601715</v>
      </c>
      <c r="X68" s="132">
        <f>X67/$AG$65</f>
        <v>0.77381427372446043</v>
      </c>
      <c r="Y68" s="132">
        <f>Y67/$AG$65</f>
        <v>0.84120222075760553</v>
      </c>
      <c r="Z68" s="132">
        <f t="shared" ref="Z68:AA68" si="328">Z67/$AG$65</f>
        <v>0.87789875808075823</v>
      </c>
      <c r="AA68" s="132">
        <f t="shared" si="328"/>
        <v>0.90668972671956094</v>
      </c>
      <c r="AB68" s="132">
        <f t="shared" ref="AB68:AE68" si="329">AB67/$AG$65</f>
        <v>0.94902173357614483</v>
      </c>
      <c r="AC68" s="132">
        <f t="shared" si="329"/>
        <v>0.98263392456763954</v>
      </c>
      <c r="AD68" s="132">
        <f t="shared" si="329"/>
        <v>1.01368669736952</v>
      </c>
      <c r="AE68" s="132">
        <f t="shared" si="329"/>
        <v>1.0425744693178916</v>
      </c>
      <c r="AF68" s="132">
        <f t="shared" ref="AF68" si="330">AF67/$AG$65</f>
        <v>1.1639438167903069</v>
      </c>
      <c r="AG68" s="132">
        <f>AG67/$AG$65</f>
        <v>1.1902969196328901</v>
      </c>
      <c r="AH68" s="1">
        <f>+AG67-AG65</f>
        <v>10661.213992108802</v>
      </c>
      <c r="AI68" s="6"/>
      <c r="AJ68" s="35"/>
      <c r="AK68" s="6"/>
      <c r="AL68" s="6"/>
      <c r="AM68" s="6"/>
      <c r="AN68" s="6"/>
      <c r="AO68" s="6"/>
    </row>
    <row r="69" spans="1:41" s="1" customFormat="1" ht="10.5" customHeight="1" thickBot="1" x14ac:dyDescent="0.3">
      <c r="A69" s="3"/>
      <c r="B69" s="2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I69" s="6"/>
      <c r="AJ69" s="35"/>
      <c r="AK69" s="6"/>
      <c r="AL69" s="6"/>
      <c r="AM69" s="6"/>
      <c r="AN69" s="6"/>
      <c r="AO69" s="6"/>
    </row>
    <row r="70" spans="1:41" s="1" customFormat="1" ht="18.75" customHeight="1" x14ac:dyDescent="0.25">
      <c r="A70" s="56"/>
      <c r="B70" s="53"/>
      <c r="C70" s="88">
        <v>1</v>
      </c>
      <c r="D70" s="89">
        <f t="shared" ref="D70:E70" si="331">+C70+1</f>
        <v>2</v>
      </c>
      <c r="E70" s="89">
        <f t="shared" si="331"/>
        <v>3</v>
      </c>
      <c r="F70" s="89">
        <f t="shared" ref="F70" si="332">+E70+1</f>
        <v>4</v>
      </c>
      <c r="G70" s="89">
        <f t="shared" ref="G70" si="333">+F70+1</f>
        <v>5</v>
      </c>
      <c r="H70" s="89">
        <f t="shared" ref="H70" si="334">+G70+1</f>
        <v>6</v>
      </c>
      <c r="I70" s="89">
        <f t="shared" ref="I70:J70" si="335">+H70+1</f>
        <v>7</v>
      </c>
      <c r="J70" s="89">
        <f t="shared" si="335"/>
        <v>8</v>
      </c>
      <c r="K70" s="89">
        <f t="shared" ref="K70" si="336">+J70+1</f>
        <v>9</v>
      </c>
      <c r="L70" s="89">
        <f t="shared" ref="L70" si="337">+K70+1</f>
        <v>10</v>
      </c>
      <c r="M70" s="89">
        <f t="shared" ref="M70" si="338">+L70+1</f>
        <v>11</v>
      </c>
      <c r="N70" s="89">
        <f t="shared" ref="N70" si="339">+M70+1</f>
        <v>12</v>
      </c>
      <c r="O70" s="89">
        <f t="shared" ref="O70" si="340">+N70+1</f>
        <v>13</v>
      </c>
      <c r="P70" s="89">
        <f t="shared" ref="P70:Q70" si="341">+O70+1</f>
        <v>14</v>
      </c>
      <c r="Q70" s="89">
        <f t="shared" si="341"/>
        <v>15</v>
      </c>
      <c r="R70" s="89">
        <f t="shared" ref="R70" si="342">+Q70+1</f>
        <v>16</v>
      </c>
      <c r="S70" s="89">
        <f t="shared" ref="S70" si="343">+R70+1</f>
        <v>17</v>
      </c>
      <c r="T70" s="89">
        <f t="shared" ref="T70" si="344">+S70+1</f>
        <v>18</v>
      </c>
      <c r="U70" s="89">
        <f t="shared" ref="U70" si="345">+T70+1</f>
        <v>19</v>
      </c>
      <c r="V70" s="89">
        <f t="shared" ref="V70" si="346">+U70+1</f>
        <v>20</v>
      </c>
      <c r="W70" s="89">
        <f>+V70+1</f>
        <v>21</v>
      </c>
      <c r="X70" s="89">
        <f>+W70+1</f>
        <v>22</v>
      </c>
      <c r="Y70" s="89">
        <f t="shared" ref="Y70" si="347">+X70+1</f>
        <v>23</v>
      </c>
      <c r="Z70" s="89">
        <f>+Y70+1</f>
        <v>24</v>
      </c>
      <c r="AA70" s="89">
        <f>+Z70+1</f>
        <v>25</v>
      </c>
      <c r="AB70" s="89">
        <f t="shared" ref="AB70" si="348">+AA70+1</f>
        <v>26</v>
      </c>
      <c r="AC70" s="89">
        <f t="shared" ref="AC70" si="349">+AB70+1</f>
        <v>27</v>
      </c>
      <c r="AD70" s="89">
        <f t="shared" ref="AD70" si="350">+AC70+1</f>
        <v>28</v>
      </c>
      <c r="AE70" s="89">
        <f t="shared" ref="AE70" si="351">+AD70+1</f>
        <v>29</v>
      </c>
      <c r="AF70" s="89">
        <f t="shared" ref="AF70" si="352">+AE70+1</f>
        <v>30</v>
      </c>
      <c r="AG70" s="89">
        <f t="shared" ref="AG70" si="353">+AF70+1</f>
        <v>31</v>
      </c>
      <c r="AI70" s="6"/>
      <c r="AJ70" s="35"/>
      <c r="AK70" s="6"/>
      <c r="AL70" s="6"/>
      <c r="AM70" s="6"/>
      <c r="AN70" s="6"/>
      <c r="AO70" s="6"/>
    </row>
    <row r="71" spans="1:41" s="1" customFormat="1" ht="18.75" customHeight="1" x14ac:dyDescent="0.25">
      <c r="A71" s="51" t="s">
        <v>39</v>
      </c>
      <c r="B71" s="54" t="s">
        <v>13</v>
      </c>
      <c r="C71" s="90">
        <f t="shared" ref="C71:V71" si="354">C9+C13</f>
        <v>284.43713920352837</v>
      </c>
      <c r="D71" s="91">
        <f t="shared" si="354"/>
        <v>568.87427840705675</v>
      </c>
      <c r="E71" s="91">
        <f t="shared" ref="E71" si="355">E9+E13</f>
        <v>853.31141761058518</v>
      </c>
      <c r="F71" s="91">
        <f t="shared" si="354"/>
        <v>1137.7485568141135</v>
      </c>
      <c r="G71" s="91">
        <f t="shared" si="354"/>
        <v>1422.1856960176419</v>
      </c>
      <c r="H71" s="91">
        <f t="shared" si="354"/>
        <v>1706.6228352211704</v>
      </c>
      <c r="I71" s="91">
        <f t="shared" si="354"/>
        <v>1991.0599744246988</v>
      </c>
      <c r="J71" s="91">
        <f t="shared" ref="J71" si="356">J9+J13</f>
        <v>2275.4971136282275</v>
      </c>
      <c r="K71" s="91">
        <f t="shared" si="354"/>
        <v>2559.9342528317557</v>
      </c>
      <c r="L71" s="91">
        <f t="shared" si="354"/>
        <v>2844.3713920352839</v>
      </c>
      <c r="M71" s="91">
        <f t="shared" si="354"/>
        <v>3128.8085312388125</v>
      </c>
      <c r="N71" s="91">
        <f t="shared" ref="N71:P71" si="357">N9+N13</f>
        <v>3413.2456704423412</v>
      </c>
      <c r="O71" s="91">
        <f t="shared" si="357"/>
        <v>3697.6828096458694</v>
      </c>
      <c r="P71" s="91">
        <f t="shared" si="357"/>
        <v>3982.1199488493976</v>
      </c>
      <c r="Q71" s="91">
        <f t="shared" ref="Q71" si="358">Q9+Q13</f>
        <v>4266.5570880529267</v>
      </c>
      <c r="R71" s="91">
        <f t="shared" si="354"/>
        <v>4550.9942272564549</v>
      </c>
      <c r="S71" s="91">
        <f t="shared" ref="S71:T71" si="359">S9+S13</f>
        <v>4835.4313664599831</v>
      </c>
      <c r="T71" s="91">
        <f t="shared" si="359"/>
        <v>5119.8685056635113</v>
      </c>
      <c r="U71" s="91">
        <f t="shared" si="354"/>
        <v>5404.3056448670395</v>
      </c>
      <c r="V71" s="91">
        <f t="shared" si="354"/>
        <v>5688.7427840705686</v>
      </c>
      <c r="W71" s="91">
        <f>W9+W13</f>
        <v>5973.1799232740968</v>
      </c>
      <c r="X71" s="91">
        <f>X9+X13</f>
        <v>6257.617062477625</v>
      </c>
      <c r="Y71" s="91">
        <f t="shared" ref="Y71:AA71" si="360">Y9+Y13</f>
        <v>6542.0542016811542</v>
      </c>
      <c r="Z71" s="91">
        <f>Z9+Z13</f>
        <v>6826.4913408846824</v>
      </c>
      <c r="AA71" s="91">
        <f t="shared" si="360"/>
        <v>7110.9284800882106</v>
      </c>
      <c r="AB71" s="91">
        <f t="shared" ref="AB71:AG71" si="361">AB9+AB13</f>
        <v>7395.3656192917397</v>
      </c>
      <c r="AC71" s="91">
        <f t="shared" si="361"/>
        <v>7679.8027584952688</v>
      </c>
      <c r="AD71" s="91">
        <f t="shared" si="361"/>
        <v>7964.239897698797</v>
      </c>
      <c r="AE71" s="91">
        <f t="shared" si="361"/>
        <v>8248.6770369023252</v>
      </c>
      <c r="AF71" s="91">
        <f t="shared" si="361"/>
        <v>8533.1141761058534</v>
      </c>
      <c r="AG71" s="91">
        <f t="shared" si="361"/>
        <v>8817.5513153093834</v>
      </c>
      <c r="AH71" s="1">
        <f>+AG72/AG71%</f>
        <v>113.51391685945416</v>
      </c>
      <c r="AI71" s="6"/>
      <c r="AJ71" s="35"/>
      <c r="AK71" s="6"/>
      <c r="AL71" s="6"/>
      <c r="AM71" s="6"/>
      <c r="AN71" s="6"/>
      <c r="AO71" s="6"/>
    </row>
    <row r="72" spans="1:41" s="1" customFormat="1" ht="18.75" customHeight="1" thickBot="1" x14ac:dyDescent="0.3">
      <c r="A72" s="52" t="s">
        <v>20</v>
      </c>
      <c r="B72" s="55" t="s">
        <v>17</v>
      </c>
      <c r="C72" s="92">
        <f t="shared" ref="C72:Q72" si="362">C11+C15</f>
        <v>324.04275159999986</v>
      </c>
      <c r="D72" s="92">
        <f t="shared" si="362"/>
        <v>694.20281869999974</v>
      </c>
      <c r="E72" s="92">
        <f t="shared" si="362"/>
        <v>1041.6699407999997</v>
      </c>
      <c r="F72" s="92">
        <f t="shared" si="362"/>
        <v>1383.4494481999996</v>
      </c>
      <c r="G72" s="92">
        <f t="shared" si="362"/>
        <v>1721.3605273999997</v>
      </c>
      <c r="H72" s="92">
        <f t="shared" si="362"/>
        <v>2031.9075407999999</v>
      </c>
      <c r="I72" s="92">
        <f t="shared" si="362"/>
        <v>2392.7716273999995</v>
      </c>
      <c r="J72" s="92">
        <f t="shared" si="362"/>
        <v>2732.6031673999996</v>
      </c>
      <c r="K72" s="92">
        <f t="shared" si="362"/>
        <v>3135.1947661999998</v>
      </c>
      <c r="L72" s="92">
        <f t="shared" si="362"/>
        <v>3497.6792415999998</v>
      </c>
      <c r="M72" s="92">
        <f t="shared" si="362"/>
        <v>3876.8477201999999</v>
      </c>
      <c r="N72" s="92">
        <f t="shared" si="362"/>
        <v>4193.0060800000001</v>
      </c>
      <c r="O72" s="92">
        <f t="shared" si="362"/>
        <v>4486.7340578000003</v>
      </c>
      <c r="P72" s="92">
        <f t="shared" si="362"/>
        <v>4803.0962165000001</v>
      </c>
      <c r="Q72" s="92">
        <f t="shared" si="362"/>
        <v>5118.3693638999994</v>
      </c>
      <c r="R72" s="92">
        <f>R11+R15</f>
        <v>5476.7003426999991</v>
      </c>
      <c r="S72" s="92">
        <f>S11+S15</f>
        <v>5787.6274472999994</v>
      </c>
      <c r="T72" s="92">
        <f>T11+T15</f>
        <v>6151.3934801999994</v>
      </c>
      <c r="U72" s="92">
        <f>U11+U15</f>
        <v>6518.7541255999986</v>
      </c>
      <c r="V72" s="92">
        <f t="shared" ref="V72:AG72" si="363">V11+V15</f>
        <v>6827.9133059999995</v>
      </c>
      <c r="W72" s="92">
        <f t="shared" si="363"/>
        <v>7190.5328137999986</v>
      </c>
      <c r="X72" s="92">
        <f t="shared" si="363"/>
        <v>7494.8670864999985</v>
      </c>
      <c r="Y72" s="92">
        <f t="shared" si="363"/>
        <v>7852.2578396999988</v>
      </c>
      <c r="Z72" s="92">
        <f t="shared" si="363"/>
        <v>8161.9558993999981</v>
      </c>
      <c r="AA72" s="92">
        <f t="shared" si="363"/>
        <v>8487.2827090999981</v>
      </c>
      <c r="AB72" s="92">
        <f t="shared" si="363"/>
        <v>8813.1371453999982</v>
      </c>
      <c r="AC72" s="92">
        <f t="shared" si="363"/>
        <v>9006.018425799999</v>
      </c>
      <c r="AD72" s="92">
        <f t="shared" si="363"/>
        <v>9269.3253542999992</v>
      </c>
      <c r="AE72" s="92">
        <f t="shared" si="363"/>
        <v>9516.0858125999985</v>
      </c>
      <c r="AF72" s="92">
        <f t="shared" si="363"/>
        <v>9795.977970599999</v>
      </c>
      <c r="AG72" s="92">
        <f t="shared" si="363"/>
        <v>10009.147869099999</v>
      </c>
      <c r="AH72" s="109">
        <f>+AG72-AG71</f>
        <v>1191.5965537906159</v>
      </c>
      <c r="AI72" s="6"/>
      <c r="AJ72" s="35"/>
      <c r="AK72" s="6"/>
      <c r="AL72" s="6"/>
      <c r="AM72" s="6"/>
      <c r="AN72" s="6"/>
      <c r="AO72" s="6"/>
    </row>
    <row r="73" spans="1:41" s="1" customFormat="1" ht="11.25" customHeight="1" thickBot="1" x14ac:dyDescent="0.3">
      <c r="A73" s="3"/>
      <c r="B73" s="2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I73" s="6"/>
      <c r="AJ73" s="35"/>
      <c r="AK73" s="6"/>
      <c r="AL73" s="6"/>
      <c r="AM73" s="6"/>
      <c r="AN73" s="6"/>
      <c r="AO73" s="6"/>
    </row>
    <row r="74" spans="1:41" s="1" customFormat="1" ht="18.75" customHeight="1" x14ac:dyDescent="0.25">
      <c r="A74" s="56"/>
      <c r="B74" s="53"/>
      <c r="C74" s="88">
        <v>1</v>
      </c>
      <c r="D74" s="89">
        <f t="shared" ref="D74:E74" si="364">+C74+1</f>
        <v>2</v>
      </c>
      <c r="E74" s="89">
        <f t="shared" si="364"/>
        <v>3</v>
      </c>
      <c r="F74" s="89">
        <f t="shared" ref="F74" si="365">+E74+1</f>
        <v>4</v>
      </c>
      <c r="G74" s="89">
        <f t="shared" ref="G74" si="366">+F74+1</f>
        <v>5</v>
      </c>
      <c r="H74" s="89">
        <f t="shared" ref="H74" si="367">+G74+1</f>
        <v>6</v>
      </c>
      <c r="I74" s="89">
        <f t="shared" ref="I74:J74" si="368">+H74+1</f>
        <v>7</v>
      </c>
      <c r="J74" s="89">
        <f t="shared" si="368"/>
        <v>8</v>
      </c>
      <c r="K74" s="89">
        <f>+J74+1</f>
        <v>9</v>
      </c>
      <c r="L74" s="89">
        <f t="shared" ref="L74" si="369">+K74+1</f>
        <v>10</v>
      </c>
      <c r="M74" s="89">
        <f t="shared" ref="M74" si="370">+L74+1</f>
        <v>11</v>
      </c>
      <c r="N74" s="89">
        <f t="shared" ref="N74" si="371">+M74+1</f>
        <v>12</v>
      </c>
      <c r="O74" s="89">
        <f t="shared" ref="O74" si="372">+N74+1</f>
        <v>13</v>
      </c>
      <c r="P74" s="89">
        <f t="shared" ref="P74:Q74" si="373">+O74+1</f>
        <v>14</v>
      </c>
      <c r="Q74" s="89">
        <f t="shared" si="373"/>
        <v>15</v>
      </c>
      <c r="R74" s="89">
        <f t="shared" ref="R74" si="374">+Q74+1</f>
        <v>16</v>
      </c>
      <c r="S74" s="89">
        <f t="shared" ref="S74" si="375">+R74+1</f>
        <v>17</v>
      </c>
      <c r="T74" s="89">
        <f t="shared" ref="T74" si="376">+S74+1</f>
        <v>18</v>
      </c>
      <c r="U74" s="89">
        <f t="shared" ref="U74" si="377">+T74+1</f>
        <v>19</v>
      </c>
      <c r="V74" s="89">
        <f t="shared" ref="V74" si="378">+U74+1</f>
        <v>20</v>
      </c>
      <c r="W74" s="89">
        <f>+V74+1</f>
        <v>21</v>
      </c>
      <c r="X74" s="89">
        <f>+W74+1</f>
        <v>22</v>
      </c>
      <c r="Y74" s="89">
        <f t="shared" ref="Y74" si="379">+X74+1</f>
        <v>23</v>
      </c>
      <c r="Z74" s="89">
        <f>+Y74+1</f>
        <v>24</v>
      </c>
      <c r="AA74" s="89">
        <f>+Z74+1</f>
        <v>25</v>
      </c>
      <c r="AB74" s="89">
        <f t="shared" ref="AB74" si="380">+AA74+1</f>
        <v>26</v>
      </c>
      <c r="AC74" s="89">
        <f t="shared" ref="AC74" si="381">+AB74+1</f>
        <v>27</v>
      </c>
      <c r="AD74" s="89">
        <f t="shared" ref="AD74" si="382">+AC74+1</f>
        <v>28</v>
      </c>
      <c r="AE74" s="89">
        <f t="shared" ref="AE74" si="383">+AD74+1</f>
        <v>29</v>
      </c>
      <c r="AF74" s="89">
        <f t="shared" ref="AF74" si="384">+AE74+1</f>
        <v>30</v>
      </c>
      <c r="AG74" s="89">
        <f t="shared" ref="AG74" si="385">+AF74+1</f>
        <v>31</v>
      </c>
      <c r="AH74" s="109">
        <f>+AG76-AG75</f>
        <v>8651.20672431821</v>
      </c>
      <c r="AI74" s="6"/>
      <c r="AJ74" s="35"/>
      <c r="AK74" s="6"/>
      <c r="AL74" s="6"/>
      <c r="AM74" s="6"/>
      <c r="AN74" s="6"/>
      <c r="AO74" s="6"/>
    </row>
    <row r="75" spans="1:41" s="1" customFormat="1" ht="18.75" customHeight="1" x14ac:dyDescent="0.25">
      <c r="A75" s="51" t="s">
        <v>40</v>
      </c>
      <c r="B75" s="54" t="s">
        <v>13</v>
      </c>
      <c r="C75" s="90">
        <f t="shared" ref="C75:D75" si="386">C17+C21</f>
        <v>1184.1956973903807</v>
      </c>
      <c r="D75" s="91">
        <f t="shared" si="386"/>
        <v>2368.3913947807614</v>
      </c>
      <c r="E75" s="91">
        <f t="shared" ref="E75" si="387">E17+E21</f>
        <v>3552.5870921711421</v>
      </c>
      <c r="F75" s="91">
        <f t="shared" ref="F75:V75" si="388">F17+F21</f>
        <v>4736.7827895615228</v>
      </c>
      <c r="G75" s="91">
        <f t="shared" si="388"/>
        <v>5920.9784869519035</v>
      </c>
      <c r="H75" s="91">
        <f t="shared" si="388"/>
        <v>7105.1741843422842</v>
      </c>
      <c r="I75" s="91">
        <f t="shared" si="388"/>
        <v>8289.369881732664</v>
      </c>
      <c r="J75" s="91">
        <f t="shared" ref="J75" si="389">J17+J21</f>
        <v>9473.5655791230456</v>
      </c>
      <c r="K75" s="91">
        <f t="shared" si="388"/>
        <v>10657.761276513425</v>
      </c>
      <c r="L75" s="91">
        <f t="shared" si="388"/>
        <v>11841.956973903807</v>
      </c>
      <c r="M75" s="91">
        <f t="shared" si="388"/>
        <v>13026.152671294189</v>
      </c>
      <c r="N75" s="91">
        <f t="shared" ref="N75:P75" si="390">N17+N21</f>
        <v>14210.348368684568</v>
      </c>
      <c r="O75" s="91">
        <f t="shared" si="390"/>
        <v>15394.544066074948</v>
      </c>
      <c r="P75" s="91">
        <f t="shared" si="390"/>
        <v>16578.739763465328</v>
      </c>
      <c r="Q75" s="91">
        <f>Q17+Q21</f>
        <v>17762.935460855708</v>
      </c>
      <c r="R75" s="91">
        <f t="shared" si="388"/>
        <v>18947.131158246088</v>
      </c>
      <c r="S75" s="91">
        <f t="shared" ref="S75:T75" si="391">S17+S21</f>
        <v>20131.326855636467</v>
      </c>
      <c r="T75" s="91">
        <f t="shared" si="391"/>
        <v>21315.522553026847</v>
      </c>
      <c r="U75" s="91">
        <f t="shared" si="388"/>
        <v>22499.718250417227</v>
      </c>
      <c r="V75" s="91">
        <f t="shared" si="388"/>
        <v>23683.913947807607</v>
      </c>
      <c r="W75" s="91">
        <f>W17+W21</f>
        <v>24868.109645197987</v>
      </c>
      <c r="X75" s="91">
        <f>X17+X21</f>
        <v>26052.30534258837</v>
      </c>
      <c r="Y75" s="91">
        <f t="shared" ref="Y75:AA75" si="392">Y17+Y21</f>
        <v>27236.50103997875</v>
      </c>
      <c r="Z75" s="91">
        <f>Z17+Z21</f>
        <v>28420.69673736913</v>
      </c>
      <c r="AA75" s="91">
        <f t="shared" si="392"/>
        <v>29604.892434759509</v>
      </c>
      <c r="AB75" s="91">
        <f t="shared" ref="AB75:AF75" si="393">AB17+AB21</f>
        <v>30789.088132149889</v>
      </c>
      <c r="AC75" s="91">
        <f t="shared" si="393"/>
        <v>31973.283829540269</v>
      </c>
      <c r="AD75" s="91">
        <f t="shared" si="393"/>
        <v>33157.479526930649</v>
      </c>
      <c r="AE75" s="91">
        <f t="shared" si="393"/>
        <v>34341.675224321029</v>
      </c>
      <c r="AF75" s="91">
        <f t="shared" si="393"/>
        <v>35525.870921711408</v>
      </c>
      <c r="AG75" s="91">
        <f>AG17+AG21</f>
        <v>36710.066619101788</v>
      </c>
      <c r="AH75" s="1">
        <f>+AG76/AG75%</f>
        <v>123.56630625076727</v>
      </c>
      <c r="AI75" s="6"/>
      <c r="AJ75" s="35"/>
      <c r="AK75" s="6"/>
      <c r="AL75" s="6"/>
      <c r="AM75" s="6"/>
      <c r="AN75" s="6"/>
      <c r="AO75" s="6"/>
    </row>
    <row r="76" spans="1:41" s="1" customFormat="1" ht="18.75" customHeight="1" thickBot="1" x14ac:dyDescent="0.3">
      <c r="A76" s="52" t="s">
        <v>25</v>
      </c>
      <c r="B76" s="55" t="s">
        <v>17</v>
      </c>
      <c r="C76" s="92">
        <f t="shared" ref="C76:Q76" si="394">C19+C23</f>
        <v>1169.479720287</v>
      </c>
      <c r="D76" s="92">
        <f t="shared" si="394"/>
        <v>2398.5239201189997</v>
      </c>
      <c r="E76" s="92">
        <f t="shared" si="394"/>
        <v>3141.3741739019997</v>
      </c>
      <c r="F76" s="92">
        <f t="shared" si="394"/>
        <v>4465.5057142200003</v>
      </c>
      <c r="G76" s="92">
        <f t="shared" si="394"/>
        <v>6667.8803698110005</v>
      </c>
      <c r="H76" s="92">
        <f t="shared" si="394"/>
        <v>7906.9453240470011</v>
      </c>
      <c r="I76" s="92">
        <f t="shared" si="394"/>
        <v>9293.8717690260019</v>
      </c>
      <c r="J76" s="92">
        <f t="shared" si="394"/>
        <v>10506.518084310001</v>
      </c>
      <c r="K76" s="92">
        <f t="shared" si="394"/>
        <v>11971.385980749001</v>
      </c>
      <c r="L76" s="92">
        <f t="shared" si="394"/>
        <v>13087.503259623001</v>
      </c>
      <c r="M76" s="92">
        <f t="shared" si="394"/>
        <v>14431.875706593</v>
      </c>
      <c r="N76" s="92">
        <f t="shared" si="394"/>
        <v>15633.625244777999</v>
      </c>
      <c r="O76" s="92">
        <f t="shared" si="394"/>
        <v>16941.210527447001</v>
      </c>
      <c r="P76" s="92">
        <f t="shared" si="394"/>
        <v>18149.178645232998</v>
      </c>
      <c r="Q76" s="92">
        <f t="shared" si="394"/>
        <v>19432.663070084</v>
      </c>
      <c r="R76" s="92">
        <f>R19+R23</f>
        <v>20444.473108726997</v>
      </c>
      <c r="S76" s="92">
        <f>S19+S23</f>
        <v>21713.337850696</v>
      </c>
      <c r="T76" s="92">
        <f>T19+T23</f>
        <v>23172.958200526002</v>
      </c>
      <c r="U76" s="92">
        <f>U19+U23</f>
        <v>24271.207542124001</v>
      </c>
      <c r="V76" s="92">
        <f t="shared" ref="V76:AG76" si="395">V19+V23</f>
        <v>25392.301440100004</v>
      </c>
      <c r="W76" s="92">
        <f t="shared" si="395"/>
        <v>26724.423522688001</v>
      </c>
      <c r="X76" s="92">
        <f t="shared" si="395"/>
        <v>28088.264716036003</v>
      </c>
      <c r="Y76" s="92">
        <f t="shared" si="395"/>
        <v>29643.635765520001</v>
      </c>
      <c r="Z76" s="92">
        <f t="shared" si="395"/>
        <v>31235.713247434</v>
      </c>
      <c r="AA76" s="92">
        <f t="shared" si="395"/>
        <v>32392.990464823</v>
      </c>
      <c r="AB76" s="92">
        <f t="shared" si="395"/>
        <v>33608.538288801996</v>
      </c>
      <c r="AC76" s="92">
        <f t="shared" si="395"/>
        <v>35298.749817235999</v>
      </c>
      <c r="AD76" s="92">
        <f t="shared" si="395"/>
        <v>36775.146592441997</v>
      </c>
      <c r="AE76" s="92">
        <f t="shared" si="395"/>
        <v>38146.797609697998</v>
      </c>
      <c r="AF76" s="92">
        <f t="shared" si="395"/>
        <v>44098.034326301</v>
      </c>
      <c r="AG76" s="92">
        <f t="shared" si="395"/>
        <v>45361.273343419998</v>
      </c>
      <c r="AH76" s="109">
        <f>+AG76-AG75</f>
        <v>8651.20672431821</v>
      </c>
      <c r="AI76" s="6"/>
      <c r="AJ76" s="35"/>
      <c r="AK76" s="6"/>
      <c r="AL76" s="6"/>
      <c r="AM76" s="6"/>
      <c r="AN76" s="6"/>
      <c r="AO76" s="6"/>
    </row>
    <row r="77" spans="1:41" s="1" customFormat="1" ht="10.5" customHeight="1" thickBot="1" x14ac:dyDescent="0.3">
      <c r="A77" s="3"/>
      <c r="B77" s="2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U77" s="151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I77" s="6"/>
      <c r="AJ77" s="35"/>
      <c r="AK77" s="6"/>
      <c r="AL77" s="6"/>
      <c r="AM77" s="6"/>
      <c r="AN77" s="6"/>
      <c r="AO77" s="6"/>
    </row>
    <row r="78" spans="1:41" s="1" customFormat="1" ht="18.75" customHeight="1" x14ac:dyDescent="0.25">
      <c r="A78" s="56"/>
      <c r="B78" s="53"/>
      <c r="C78" s="88">
        <v>1</v>
      </c>
      <c r="D78" s="89">
        <f t="shared" ref="D78:E78" si="396">+C78+1</f>
        <v>2</v>
      </c>
      <c r="E78" s="89">
        <f t="shared" si="396"/>
        <v>3</v>
      </c>
      <c r="F78" s="89">
        <f t="shared" ref="F78" si="397">+E78+1</f>
        <v>4</v>
      </c>
      <c r="G78" s="89">
        <f t="shared" ref="G78" si="398">+F78+1</f>
        <v>5</v>
      </c>
      <c r="H78" s="89">
        <f t="shared" ref="H78" si="399">+G78+1</f>
        <v>6</v>
      </c>
      <c r="I78" s="89">
        <f t="shared" ref="I78:J78" si="400">+H78+1</f>
        <v>7</v>
      </c>
      <c r="J78" s="89">
        <f t="shared" si="400"/>
        <v>8</v>
      </c>
      <c r="K78" s="89">
        <f t="shared" ref="K78" si="401">+J78+1</f>
        <v>9</v>
      </c>
      <c r="L78" s="89">
        <f t="shared" ref="L78" si="402">+K78+1</f>
        <v>10</v>
      </c>
      <c r="M78" s="89">
        <f t="shared" ref="M78" si="403">+L78+1</f>
        <v>11</v>
      </c>
      <c r="N78" s="89">
        <f t="shared" ref="N78" si="404">+M78+1</f>
        <v>12</v>
      </c>
      <c r="O78" s="89">
        <f t="shared" ref="O78" si="405">+N78+1</f>
        <v>13</v>
      </c>
      <c r="P78" s="89">
        <f t="shared" ref="P78:Q78" si="406">+O78+1</f>
        <v>14</v>
      </c>
      <c r="Q78" s="89">
        <f t="shared" si="406"/>
        <v>15</v>
      </c>
      <c r="R78" s="89">
        <f t="shared" ref="R78" si="407">+Q78+1</f>
        <v>16</v>
      </c>
      <c r="S78" s="89">
        <f t="shared" ref="S78" si="408">+R78+1</f>
        <v>17</v>
      </c>
      <c r="T78" s="89">
        <f t="shared" ref="T78" si="409">+S78+1</f>
        <v>18</v>
      </c>
      <c r="U78" s="89">
        <f t="shared" ref="U78" si="410">+T78+1</f>
        <v>19</v>
      </c>
      <c r="V78" s="89">
        <f t="shared" ref="V78" si="411">+U78+1</f>
        <v>20</v>
      </c>
      <c r="W78" s="89">
        <f>+V78+1</f>
        <v>21</v>
      </c>
      <c r="X78" s="89">
        <f>+W78+1</f>
        <v>22</v>
      </c>
      <c r="Y78" s="89">
        <f t="shared" ref="Y78" si="412">+X78+1</f>
        <v>23</v>
      </c>
      <c r="Z78" s="89">
        <f>+Y78+1</f>
        <v>24</v>
      </c>
      <c r="AA78" s="89">
        <f>+Z78+1</f>
        <v>25</v>
      </c>
      <c r="AB78" s="89">
        <f t="shared" ref="AB78" si="413">+AA78+1</f>
        <v>26</v>
      </c>
      <c r="AC78" s="89">
        <f t="shared" ref="AC78" si="414">+AB78+1</f>
        <v>27</v>
      </c>
      <c r="AD78" s="89">
        <f t="shared" ref="AD78" si="415">+AC78+1</f>
        <v>28</v>
      </c>
      <c r="AE78" s="89">
        <f t="shared" ref="AE78" si="416">+AD78+1</f>
        <v>29</v>
      </c>
      <c r="AF78" s="89">
        <f t="shared" ref="AF78" si="417">+AE78+1</f>
        <v>30</v>
      </c>
      <c r="AG78" s="89">
        <f t="shared" ref="AG78" si="418">+AF78+1</f>
        <v>31</v>
      </c>
      <c r="AI78" s="6"/>
      <c r="AJ78" s="35"/>
      <c r="AK78" s="6"/>
      <c r="AL78" s="6"/>
      <c r="AM78" s="6"/>
      <c r="AN78" s="6"/>
      <c r="AO78" s="6"/>
    </row>
    <row r="79" spans="1:41" s="1" customFormat="1" ht="18.75" customHeight="1" x14ac:dyDescent="0.25">
      <c r="A79" s="51" t="s">
        <v>41</v>
      </c>
      <c r="B79" s="54" t="s">
        <v>13</v>
      </c>
      <c r="C79" s="93">
        <f t="shared" ref="C79:D79" si="419">C49</f>
        <v>20.057419354838707</v>
      </c>
      <c r="D79" s="94">
        <f t="shared" si="419"/>
        <v>40.114838709677414</v>
      </c>
      <c r="E79" s="94">
        <f t="shared" ref="E79" si="420">E49</f>
        <v>60.172258064516122</v>
      </c>
      <c r="F79" s="94">
        <f t="shared" ref="F79:V79" si="421">F49</f>
        <v>80.229677419354829</v>
      </c>
      <c r="G79" s="94">
        <f t="shared" si="421"/>
        <v>100.28709677419354</v>
      </c>
      <c r="H79" s="94">
        <f t="shared" si="421"/>
        <v>120.34451612903226</v>
      </c>
      <c r="I79" s="94">
        <f t="shared" si="421"/>
        <v>140.40193548387097</v>
      </c>
      <c r="J79" s="94">
        <f t="shared" ref="J79" si="422">J49</f>
        <v>160.45935483870969</v>
      </c>
      <c r="K79" s="94">
        <f t="shared" si="421"/>
        <v>180.5167741935484</v>
      </c>
      <c r="L79" s="94">
        <f t="shared" si="421"/>
        <v>200.57419354838711</v>
      </c>
      <c r="M79" s="94">
        <f t="shared" si="421"/>
        <v>220.63161290322583</v>
      </c>
      <c r="N79" s="94">
        <f t="shared" ref="N79:P79" si="423">N49</f>
        <v>240.68903225806454</v>
      </c>
      <c r="O79" s="94">
        <f t="shared" si="423"/>
        <v>260.74645161290323</v>
      </c>
      <c r="P79" s="94">
        <f t="shared" si="423"/>
        <v>280.80387096774194</v>
      </c>
      <c r="Q79" s="94">
        <f t="shared" ref="Q79" si="424">Q49</f>
        <v>300.86129032258066</v>
      </c>
      <c r="R79" s="94">
        <f t="shared" si="421"/>
        <v>320.91870967741937</v>
      </c>
      <c r="S79" s="94">
        <f t="shared" ref="S79:T79" si="425">S49</f>
        <v>340.97612903225809</v>
      </c>
      <c r="T79" s="94">
        <f t="shared" si="425"/>
        <v>361.0335483870968</v>
      </c>
      <c r="U79" s="94">
        <f t="shared" si="421"/>
        <v>381.09096774193551</v>
      </c>
      <c r="V79" s="94">
        <f t="shared" si="421"/>
        <v>401.14838709677423</v>
      </c>
      <c r="W79" s="94">
        <f>W49</f>
        <v>421.20580645161294</v>
      </c>
      <c r="X79" s="94">
        <f>X49</f>
        <v>441.26322580645166</v>
      </c>
      <c r="Y79" s="94">
        <f t="shared" ref="Y79:AA79" si="426">Y49</f>
        <v>461.32064516129037</v>
      </c>
      <c r="Z79" s="94">
        <f>Z49</f>
        <v>481.37806451612909</v>
      </c>
      <c r="AA79" s="94">
        <f t="shared" si="426"/>
        <v>501.4354838709678</v>
      </c>
      <c r="AB79" s="94">
        <f t="shared" ref="AB79:AG79" si="427">AB49</f>
        <v>521.49290322580646</v>
      </c>
      <c r="AC79" s="94">
        <f t="shared" si="427"/>
        <v>541.55032258064512</v>
      </c>
      <c r="AD79" s="94">
        <f t="shared" si="427"/>
        <v>561.60774193548377</v>
      </c>
      <c r="AE79" s="94">
        <f t="shared" si="427"/>
        <v>581.66516129032243</v>
      </c>
      <c r="AF79" s="94">
        <f t="shared" si="427"/>
        <v>601.72258064516109</v>
      </c>
      <c r="AG79" s="94">
        <f t="shared" si="427"/>
        <v>621.77999999999975</v>
      </c>
      <c r="AH79" s="1">
        <f>+AG80/AG79%</f>
        <v>104.79269194892089</v>
      </c>
      <c r="AI79" s="6"/>
      <c r="AJ79" s="35"/>
      <c r="AK79" s="6"/>
      <c r="AL79" s="6"/>
      <c r="AM79" s="6"/>
      <c r="AN79" s="6"/>
      <c r="AO79" s="6"/>
    </row>
    <row r="80" spans="1:41" s="1" customFormat="1" ht="18.75" customHeight="1" thickBot="1" x14ac:dyDescent="0.3">
      <c r="A80" s="52" t="s">
        <v>31</v>
      </c>
      <c r="B80" s="55" t="s">
        <v>17</v>
      </c>
      <c r="C80" s="92">
        <f t="shared" ref="C80:Q80" si="428">C51</f>
        <v>0</v>
      </c>
      <c r="D80" s="92">
        <f t="shared" si="428"/>
        <v>0</v>
      </c>
      <c r="E80" s="92">
        <f t="shared" si="428"/>
        <v>0</v>
      </c>
      <c r="F80" s="92">
        <f t="shared" si="428"/>
        <v>122.9</v>
      </c>
      <c r="G80" s="92">
        <f t="shared" si="428"/>
        <v>122.9</v>
      </c>
      <c r="H80" s="92">
        <f t="shared" si="428"/>
        <v>122.9</v>
      </c>
      <c r="I80" s="92">
        <f t="shared" si="428"/>
        <v>122.9</v>
      </c>
      <c r="J80" s="92">
        <f t="shared" si="428"/>
        <v>122.9</v>
      </c>
      <c r="K80" s="92">
        <f t="shared" si="428"/>
        <v>267.38</v>
      </c>
      <c r="L80" s="92">
        <f t="shared" si="428"/>
        <v>267.38</v>
      </c>
      <c r="M80" s="92">
        <f t="shared" si="428"/>
        <v>267.38</v>
      </c>
      <c r="N80" s="92">
        <f t="shared" si="428"/>
        <v>267.38</v>
      </c>
      <c r="O80" s="92">
        <f t="shared" si="428"/>
        <v>267.38</v>
      </c>
      <c r="P80" s="92">
        <f t="shared" si="428"/>
        <v>267.38</v>
      </c>
      <c r="Q80" s="92">
        <f t="shared" si="428"/>
        <v>267.38</v>
      </c>
      <c r="R80" s="92">
        <f>R51</f>
        <v>411.86</v>
      </c>
      <c r="S80" s="92">
        <f>S51</f>
        <v>411.86</v>
      </c>
      <c r="T80" s="92">
        <f>T51</f>
        <v>411.86</v>
      </c>
      <c r="U80" s="92">
        <f>U51</f>
        <v>411.86</v>
      </c>
      <c r="V80" s="92">
        <f t="shared" ref="V80:AG80" si="429">V51</f>
        <v>411.86</v>
      </c>
      <c r="W80" s="92">
        <f t="shared" si="429"/>
        <v>411.86</v>
      </c>
      <c r="X80" s="92">
        <f t="shared" si="429"/>
        <v>411.86</v>
      </c>
      <c r="Y80" s="92">
        <f t="shared" si="429"/>
        <v>520.06000000000006</v>
      </c>
      <c r="Z80" s="92">
        <f t="shared" si="429"/>
        <v>520.06000000000006</v>
      </c>
      <c r="AA80" s="92">
        <f t="shared" si="429"/>
        <v>520.06000000000006</v>
      </c>
      <c r="AB80" s="92">
        <f t="shared" si="429"/>
        <v>520.06000000000006</v>
      </c>
      <c r="AC80" s="92">
        <f t="shared" si="429"/>
        <v>520.06000000000006</v>
      </c>
      <c r="AD80" s="92">
        <f t="shared" si="429"/>
        <v>520.06000000000006</v>
      </c>
      <c r="AE80" s="92">
        <f t="shared" si="429"/>
        <v>520.06000000000006</v>
      </c>
      <c r="AF80" s="92">
        <f t="shared" si="429"/>
        <v>651.58000000000004</v>
      </c>
      <c r="AG80" s="92">
        <f t="shared" si="429"/>
        <v>651.58000000000004</v>
      </c>
      <c r="AH80" s="109"/>
      <c r="AI80" s="6"/>
      <c r="AJ80" s="35"/>
      <c r="AK80" s="6"/>
      <c r="AL80" s="6"/>
      <c r="AM80" s="6"/>
      <c r="AN80" s="6"/>
      <c r="AO80" s="6"/>
    </row>
    <row r="81" spans="1:43" s="1" customFormat="1" ht="10.5" customHeight="1" thickBot="1" x14ac:dyDescent="0.3">
      <c r="A81" s="3"/>
      <c r="B81" s="2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I81" s="6"/>
      <c r="AJ81" s="35"/>
      <c r="AK81" s="6"/>
      <c r="AL81" s="6"/>
      <c r="AM81" s="6"/>
      <c r="AN81" s="6"/>
      <c r="AO81" s="6"/>
    </row>
    <row r="82" spans="1:43" s="1" customFormat="1" ht="18.75" customHeight="1" thickBot="1" x14ac:dyDescent="0.3">
      <c r="A82" s="56"/>
      <c r="B82" s="57"/>
      <c r="C82" s="88">
        <v>1</v>
      </c>
      <c r="D82" s="89">
        <f t="shared" ref="D82:E82" si="430">+C82+1</f>
        <v>2</v>
      </c>
      <c r="E82" s="89">
        <f t="shared" si="430"/>
        <v>3</v>
      </c>
      <c r="F82" s="89">
        <f t="shared" ref="F82" si="431">+E82+1</f>
        <v>4</v>
      </c>
      <c r="G82" s="89">
        <f t="shared" ref="G82" si="432">+F82+1</f>
        <v>5</v>
      </c>
      <c r="H82" s="89">
        <f t="shared" ref="H82" si="433">+G82+1</f>
        <v>6</v>
      </c>
      <c r="I82" s="89">
        <f t="shared" ref="I82:J82" si="434">+H82+1</f>
        <v>7</v>
      </c>
      <c r="J82" s="89">
        <f t="shared" si="434"/>
        <v>8</v>
      </c>
      <c r="K82" s="89">
        <f t="shared" ref="K82" si="435">+J82+1</f>
        <v>9</v>
      </c>
      <c r="L82" s="89">
        <f t="shared" ref="L82" si="436">+K82+1</f>
        <v>10</v>
      </c>
      <c r="M82" s="89">
        <f t="shared" ref="M82" si="437">+L82+1</f>
        <v>11</v>
      </c>
      <c r="N82" s="89">
        <f t="shared" ref="N82" si="438">+M82+1</f>
        <v>12</v>
      </c>
      <c r="O82" s="89">
        <f t="shared" ref="O82" si="439">+N82+1</f>
        <v>13</v>
      </c>
      <c r="P82" s="89">
        <f t="shared" ref="P82:Q82" si="440">+O82+1</f>
        <v>14</v>
      </c>
      <c r="Q82" s="89">
        <f t="shared" si="440"/>
        <v>15</v>
      </c>
      <c r="R82" s="89">
        <f t="shared" ref="R82" si="441">+Q82+1</f>
        <v>16</v>
      </c>
      <c r="S82" s="89">
        <f t="shared" ref="S82" si="442">+R82+1</f>
        <v>17</v>
      </c>
      <c r="T82" s="89">
        <f t="shared" ref="T82" si="443">+S82+1</f>
        <v>18</v>
      </c>
      <c r="U82" s="89">
        <f t="shared" ref="U82" si="444">+T82+1</f>
        <v>19</v>
      </c>
      <c r="V82" s="89">
        <f t="shared" ref="V82" si="445">+U82+1</f>
        <v>20</v>
      </c>
      <c r="W82" s="89">
        <f>+V82+1</f>
        <v>21</v>
      </c>
      <c r="X82" s="89">
        <f>+W82+1</f>
        <v>22</v>
      </c>
      <c r="Y82" s="89">
        <f t="shared" ref="Y82" si="446">+X82+1</f>
        <v>23</v>
      </c>
      <c r="Z82" s="89">
        <f>+Y82+1</f>
        <v>24</v>
      </c>
      <c r="AA82" s="89">
        <f>+Z82+1</f>
        <v>25</v>
      </c>
      <c r="AB82" s="89">
        <f t="shared" ref="AB82" si="447">+AA82+1</f>
        <v>26</v>
      </c>
      <c r="AC82" s="89">
        <f t="shared" ref="AC82" si="448">+AB82+1</f>
        <v>27</v>
      </c>
      <c r="AD82" s="89">
        <f t="shared" ref="AD82" si="449">+AC82+1</f>
        <v>28</v>
      </c>
      <c r="AE82" s="89">
        <f t="shared" ref="AE82" si="450">+AD82+1</f>
        <v>29</v>
      </c>
      <c r="AF82" s="89">
        <f t="shared" ref="AF82" si="451">+AE82+1</f>
        <v>30</v>
      </c>
      <c r="AG82" s="89">
        <f t="shared" ref="AG82" si="452">+AF82+1</f>
        <v>31</v>
      </c>
      <c r="AI82" s="64"/>
      <c r="AJ82" s="193" t="s">
        <v>72</v>
      </c>
      <c r="AK82" s="193"/>
      <c r="AL82" s="64"/>
      <c r="AM82" s="64" t="s">
        <v>12</v>
      </c>
      <c r="AN82" s="6" t="s">
        <v>73</v>
      </c>
      <c r="AO82" s="6">
        <v>2113815.9502040814</v>
      </c>
    </row>
    <row r="83" spans="1:43" s="1" customFormat="1" ht="18.75" customHeight="1" x14ac:dyDescent="0.25">
      <c r="A83" s="51" t="s">
        <v>43</v>
      </c>
      <c r="B83" s="54" t="s">
        <v>13</v>
      </c>
      <c r="C83" s="90">
        <f t="shared" ref="C83:D83" si="453">+C45</f>
        <v>135.94490322580646</v>
      </c>
      <c r="D83" s="91">
        <f t="shared" si="453"/>
        <v>271.88980645161291</v>
      </c>
      <c r="E83" s="91">
        <f t="shared" ref="E83" si="454">+E45</f>
        <v>407.83470967741937</v>
      </c>
      <c r="F83" s="91">
        <f t="shared" ref="F83:V83" si="455">+F45</f>
        <v>543.77961290322582</v>
      </c>
      <c r="G83" s="91">
        <f t="shared" si="455"/>
        <v>679.72451612903228</v>
      </c>
      <c r="H83" s="91">
        <f t="shared" si="455"/>
        <v>815.66941935483874</v>
      </c>
      <c r="I83" s="91">
        <f t="shared" si="455"/>
        <v>951.61432258064519</v>
      </c>
      <c r="J83" s="91">
        <f t="shared" ref="J83" si="456">+J45</f>
        <v>1087.5592258064516</v>
      </c>
      <c r="K83" s="91">
        <f t="shared" si="455"/>
        <v>1223.5041290322581</v>
      </c>
      <c r="L83" s="91">
        <f t="shared" si="455"/>
        <v>1359.4490322580646</v>
      </c>
      <c r="M83" s="91">
        <f t="shared" si="455"/>
        <v>1495.393935483871</v>
      </c>
      <c r="N83" s="91">
        <f t="shared" ref="N83:P83" si="457">+N45</f>
        <v>1631.3388387096775</v>
      </c>
      <c r="O83" s="91">
        <f t="shared" si="457"/>
        <v>1767.2837419354839</v>
      </c>
      <c r="P83" s="91">
        <f t="shared" si="457"/>
        <v>1903.2286451612904</v>
      </c>
      <c r="Q83" s="91">
        <f t="shared" ref="Q83" si="458">+Q45</f>
        <v>2039.1735483870968</v>
      </c>
      <c r="R83" s="91">
        <f t="shared" si="455"/>
        <v>2175.1184516129033</v>
      </c>
      <c r="S83" s="91">
        <f t="shared" ref="S83:T83" si="459">+S45</f>
        <v>2311.0633548387095</v>
      </c>
      <c r="T83" s="91">
        <f t="shared" si="459"/>
        <v>2447.0082580645158</v>
      </c>
      <c r="U83" s="91">
        <f t="shared" si="455"/>
        <v>2582.953161290322</v>
      </c>
      <c r="V83" s="91">
        <f t="shared" si="455"/>
        <v>2718.8980645161282</v>
      </c>
      <c r="W83" s="91">
        <f>+W45</f>
        <v>2854.8429677419344</v>
      </c>
      <c r="X83" s="91">
        <f>+X45</f>
        <v>2990.7878709677407</v>
      </c>
      <c r="Y83" s="91">
        <f t="shared" ref="Y83:AA83" si="460">+Y45</f>
        <v>3126.7327741935469</v>
      </c>
      <c r="Z83" s="91">
        <f>+Z45</f>
        <v>3262.6776774193531</v>
      </c>
      <c r="AA83" s="91">
        <f t="shared" si="460"/>
        <v>3398.6225806451594</v>
      </c>
      <c r="AB83" s="91">
        <f t="shared" ref="AB83:AG83" si="461">+AB45</f>
        <v>3534.5674838709656</v>
      </c>
      <c r="AC83" s="91">
        <f t="shared" si="461"/>
        <v>3670.5123870967718</v>
      </c>
      <c r="AD83" s="91">
        <f t="shared" si="461"/>
        <v>3806.457290322578</v>
      </c>
      <c r="AE83" s="91">
        <f t="shared" si="461"/>
        <v>3942.4021935483843</v>
      </c>
      <c r="AF83" s="91">
        <f t="shared" si="461"/>
        <v>4078.3470967741905</v>
      </c>
      <c r="AG83" s="91">
        <f t="shared" si="461"/>
        <v>4214.2919999999967</v>
      </c>
      <c r="AH83" s="1">
        <f>+AG84/AG83%</f>
        <v>109.93220213502062</v>
      </c>
      <c r="AI83" s="105" t="s">
        <v>4</v>
      </c>
      <c r="AJ83" s="105"/>
      <c r="AK83" s="106" t="s">
        <v>5</v>
      </c>
      <c r="AL83" s="102"/>
      <c r="AM83" s="64" t="s">
        <v>12</v>
      </c>
      <c r="AN83" s="6" t="s">
        <v>11</v>
      </c>
      <c r="AO83" s="6">
        <v>5936294.4728816319</v>
      </c>
    </row>
    <row r="84" spans="1:43" s="1" customFormat="1" ht="18.75" customHeight="1" thickBot="1" x14ac:dyDescent="0.3">
      <c r="A84" s="52" t="s">
        <v>19</v>
      </c>
      <c r="B84" s="55" t="s">
        <v>17</v>
      </c>
      <c r="C84" s="92">
        <f t="shared" ref="C84:Q84" si="462">+C47</f>
        <v>0</v>
      </c>
      <c r="D84" s="92">
        <f t="shared" si="462"/>
        <v>961.44899999999996</v>
      </c>
      <c r="E84" s="92">
        <f t="shared" si="462"/>
        <v>961.44899999999996</v>
      </c>
      <c r="F84" s="92">
        <f t="shared" si="462"/>
        <v>961.44899999999996</v>
      </c>
      <c r="G84" s="92">
        <f t="shared" si="462"/>
        <v>961.44899999999996</v>
      </c>
      <c r="H84" s="92">
        <f t="shared" si="462"/>
        <v>961.44899999999996</v>
      </c>
      <c r="I84" s="92">
        <f t="shared" si="462"/>
        <v>961.44899999999996</v>
      </c>
      <c r="J84" s="92">
        <f t="shared" si="462"/>
        <v>961.44899999999996</v>
      </c>
      <c r="K84" s="92">
        <f t="shared" si="462"/>
        <v>2403.4409999999993</v>
      </c>
      <c r="L84" s="92">
        <f t="shared" si="462"/>
        <v>2403.4409999999993</v>
      </c>
      <c r="M84" s="92">
        <f t="shared" si="462"/>
        <v>2403.4409999999993</v>
      </c>
      <c r="N84" s="92">
        <f t="shared" si="462"/>
        <v>2403.4409999999993</v>
      </c>
      <c r="O84" s="92">
        <f t="shared" si="462"/>
        <v>2403.4409999999993</v>
      </c>
      <c r="P84" s="92">
        <f t="shared" si="462"/>
        <v>2403.4409999999993</v>
      </c>
      <c r="Q84" s="92">
        <f t="shared" si="462"/>
        <v>2403.4409999999993</v>
      </c>
      <c r="R84" s="92">
        <f>+R47</f>
        <v>3265.0979999999995</v>
      </c>
      <c r="S84" s="92">
        <f>+S47</f>
        <v>3265.0979999999995</v>
      </c>
      <c r="T84" s="92">
        <f>+T47</f>
        <v>3265.0979999999995</v>
      </c>
      <c r="U84" s="92">
        <f>+U47</f>
        <v>3265.0979999999995</v>
      </c>
      <c r="V84" s="92">
        <f t="shared" ref="V84:AG84" si="463">+V47</f>
        <v>3265.0979999999995</v>
      </c>
      <c r="W84" s="92">
        <f t="shared" si="463"/>
        <v>3265.0979999999995</v>
      </c>
      <c r="X84" s="92">
        <f t="shared" si="463"/>
        <v>3265.0979999999995</v>
      </c>
      <c r="Y84" s="92">
        <f t="shared" si="463"/>
        <v>4224.5549999999994</v>
      </c>
      <c r="Z84" s="92">
        <f t="shared" si="463"/>
        <v>4224.5549999999994</v>
      </c>
      <c r="AA84" s="92">
        <f t="shared" si="463"/>
        <v>4224.5549999999994</v>
      </c>
      <c r="AB84" s="92">
        <f t="shared" si="463"/>
        <v>4224.5549999999994</v>
      </c>
      <c r="AC84" s="92">
        <f t="shared" si="463"/>
        <v>4224.5549999999994</v>
      </c>
      <c r="AD84" s="92">
        <f t="shared" si="463"/>
        <v>4224.5549999999994</v>
      </c>
      <c r="AE84" s="92">
        <f t="shared" si="463"/>
        <v>4224.5549999999994</v>
      </c>
      <c r="AF84" s="92">
        <f t="shared" si="463"/>
        <v>4632.8639999999996</v>
      </c>
      <c r="AG84" s="92">
        <f t="shared" si="463"/>
        <v>4632.8639999999996</v>
      </c>
      <c r="AH84" s="109"/>
      <c r="AI84" s="73" t="s">
        <v>7</v>
      </c>
      <c r="AJ84" s="11" t="s">
        <v>8</v>
      </c>
      <c r="AK84" s="183">
        <v>2940573.2071856288</v>
      </c>
      <c r="AL84" s="72"/>
      <c r="AM84" s="6" t="s">
        <v>74</v>
      </c>
      <c r="AN84" s="6" t="s">
        <v>73</v>
      </c>
      <c r="AO84" s="6">
        <v>12333054.742956731</v>
      </c>
    </row>
    <row r="85" spans="1:43" s="1" customFormat="1" ht="9.75" customHeight="1" thickBot="1" x14ac:dyDescent="0.3">
      <c r="A85" s="3"/>
      <c r="B85" s="2"/>
      <c r="C85" s="95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156"/>
      <c r="AC85" s="156"/>
      <c r="AD85" s="156"/>
      <c r="AE85" s="156"/>
      <c r="AF85" s="156"/>
      <c r="AG85" s="156"/>
      <c r="AI85" s="4" t="s">
        <v>10</v>
      </c>
      <c r="AJ85" s="11" t="s">
        <v>11</v>
      </c>
      <c r="AK85" s="183">
        <v>5876978.1081237523</v>
      </c>
      <c r="AL85" s="72">
        <f>SUM(AK84:AK85)</f>
        <v>8817551.3153093811</v>
      </c>
      <c r="AM85" s="6" t="s">
        <v>74</v>
      </c>
      <c r="AN85" s="6" t="s">
        <v>11</v>
      </c>
      <c r="AO85" s="6">
        <v>22505232.077653639</v>
      </c>
    </row>
    <row r="86" spans="1:43" s="1" customFormat="1" ht="18.75" customHeight="1" x14ac:dyDescent="0.25">
      <c r="A86" s="56"/>
      <c r="B86" s="57"/>
      <c r="C86" s="88">
        <v>1</v>
      </c>
      <c r="D86" s="89">
        <f t="shared" ref="D86:E86" si="464">+C86+1</f>
        <v>2</v>
      </c>
      <c r="E86" s="89">
        <f t="shared" si="464"/>
        <v>3</v>
      </c>
      <c r="F86" s="89">
        <f t="shared" ref="F86" si="465">+E86+1</f>
        <v>4</v>
      </c>
      <c r="G86" s="89">
        <f t="shared" ref="G86" si="466">+F86+1</f>
        <v>5</v>
      </c>
      <c r="H86" s="89">
        <f t="shared" ref="H86" si="467">+G86+1</f>
        <v>6</v>
      </c>
      <c r="I86" s="89">
        <f t="shared" ref="I86:J86" si="468">+H86+1</f>
        <v>7</v>
      </c>
      <c r="J86" s="89">
        <f t="shared" si="468"/>
        <v>8</v>
      </c>
      <c r="K86" s="89">
        <f t="shared" ref="K86" si="469">+J86+1</f>
        <v>9</v>
      </c>
      <c r="L86" s="89">
        <f t="shared" ref="L86" si="470">+K86+1</f>
        <v>10</v>
      </c>
      <c r="M86" s="89">
        <f t="shared" ref="M86" si="471">+L86+1</f>
        <v>11</v>
      </c>
      <c r="N86" s="89">
        <f t="shared" ref="N86" si="472">+M86+1</f>
        <v>12</v>
      </c>
      <c r="O86" s="89">
        <f t="shared" ref="O86" si="473">+N86+1</f>
        <v>13</v>
      </c>
      <c r="P86" s="89">
        <f t="shared" ref="P86:Q86" si="474">+O86+1</f>
        <v>14</v>
      </c>
      <c r="Q86" s="89">
        <f t="shared" si="474"/>
        <v>15</v>
      </c>
      <c r="R86" s="89">
        <f t="shared" ref="R86" si="475">+Q86+1</f>
        <v>16</v>
      </c>
      <c r="S86" s="89">
        <f t="shared" ref="S86" si="476">+R86+1</f>
        <v>17</v>
      </c>
      <c r="T86" s="89">
        <f t="shared" ref="T86" si="477">+S86+1</f>
        <v>18</v>
      </c>
      <c r="U86" s="89">
        <f t="shared" ref="U86" si="478">+T86+1</f>
        <v>19</v>
      </c>
      <c r="V86" s="89">
        <f t="shared" ref="V86" si="479">+U86+1</f>
        <v>20</v>
      </c>
      <c r="W86" s="89">
        <f>+V86+1</f>
        <v>21</v>
      </c>
      <c r="X86" s="89">
        <f>+W86+1</f>
        <v>22</v>
      </c>
      <c r="Y86" s="89">
        <f t="shared" ref="Y86" si="480">+X86+1</f>
        <v>23</v>
      </c>
      <c r="Z86" s="89">
        <f>+Y86+1</f>
        <v>24</v>
      </c>
      <c r="AA86" s="89">
        <f>+Z86+1</f>
        <v>25</v>
      </c>
      <c r="AB86" s="89">
        <f t="shared" ref="AB86" si="481">+AA86+1</f>
        <v>26</v>
      </c>
      <c r="AC86" s="89">
        <f t="shared" ref="AC86" si="482">+AB86+1</f>
        <v>27</v>
      </c>
      <c r="AD86" s="89">
        <f t="shared" ref="AD86" si="483">+AC86+1</f>
        <v>28</v>
      </c>
      <c r="AE86" s="89">
        <f t="shared" ref="AE86" si="484">+AD86+1</f>
        <v>29</v>
      </c>
      <c r="AF86" s="89">
        <f t="shared" ref="AF86" si="485">+AE86+1</f>
        <v>30</v>
      </c>
      <c r="AG86" s="89">
        <f t="shared" ref="AG86" si="486">+AF86+1</f>
        <v>31</v>
      </c>
      <c r="AI86" s="4" t="s">
        <v>14</v>
      </c>
      <c r="AJ86" s="11" t="s">
        <v>8</v>
      </c>
      <c r="AK86" s="183">
        <v>11564498.098203594</v>
      </c>
      <c r="AL86" s="72"/>
      <c r="AM86" s="6" t="s">
        <v>75</v>
      </c>
      <c r="AN86" s="6" t="s">
        <v>73</v>
      </c>
      <c r="AO86" s="6">
        <v>0</v>
      </c>
    </row>
    <row r="87" spans="1:43" s="1" customFormat="1" ht="18.75" customHeight="1" x14ac:dyDescent="0.25">
      <c r="A87" s="51" t="s">
        <v>45</v>
      </c>
      <c r="B87" s="54" t="s">
        <v>13</v>
      </c>
      <c r="C87" s="90">
        <f>C65-(C71+C75+C79+C83)</f>
        <v>182.5939301935482</v>
      </c>
      <c r="D87" s="91">
        <f t="shared" ref="D87:E87" si="487">D65-(D71+D75+D79+D83)</f>
        <v>365.18786038709641</v>
      </c>
      <c r="E87" s="91">
        <f t="shared" si="487"/>
        <v>547.78179058064416</v>
      </c>
      <c r="F87" s="91">
        <f t="shared" ref="F87:V87" si="488">F65-(F71+F75+F79+F83)</f>
        <v>730.37572077419281</v>
      </c>
      <c r="G87" s="91">
        <f t="shared" si="488"/>
        <v>912.96965096774056</v>
      </c>
      <c r="H87" s="91">
        <f t="shared" si="488"/>
        <v>1095.5635811612865</v>
      </c>
      <c r="I87" s="91">
        <f t="shared" si="488"/>
        <v>1278.157511354837</v>
      </c>
      <c r="J87" s="91">
        <f t="shared" ref="J87" si="489">J65-(J71+J75+J79+J83)</f>
        <v>1460.7514415483838</v>
      </c>
      <c r="K87" s="91">
        <f t="shared" si="488"/>
        <v>1643.3453717419306</v>
      </c>
      <c r="L87" s="91">
        <f t="shared" si="488"/>
        <v>1825.9393019354811</v>
      </c>
      <c r="M87" s="91">
        <f t="shared" si="488"/>
        <v>2008.5332321290298</v>
      </c>
      <c r="N87" s="91">
        <f t="shared" ref="N87:P87" si="490">N65-(N71+N75+N79+N83)</f>
        <v>2191.127162322573</v>
      </c>
      <c r="O87" s="91">
        <f t="shared" si="490"/>
        <v>2373.7210925161235</v>
      </c>
      <c r="P87" s="91">
        <f t="shared" si="490"/>
        <v>2556.3150227096739</v>
      </c>
      <c r="Q87" s="91">
        <f t="shared" ref="Q87" si="491">Q65-(Q71+Q75+Q79+Q83)</f>
        <v>2738.9089529032208</v>
      </c>
      <c r="R87" s="91">
        <f t="shared" si="488"/>
        <v>2921.5028830967713</v>
      </c>
      <c r="S87" s="91">
        <f t="shared" ref="S87:T87" si="492">S65-(S71+S75+S79+S83)</f>
        <v>3104.0968132903217</v>
      </c>
      <c r="T87" s="91">
        <f t="shared" si="492"/>
        <v>3286.6907434838686</v>
      </c>
      <c r="U87" s="91">
        <f t="shared" si="488"/>
        <v>3469.2846736774154</v>
      </c>
      <c r="V87" s="91">
        <f t="shared" si="488"/>
        <v>3651.8786038709695</v>
      </c>
      <c r="W87" s="91">
        <f>W65-(W71+W75+W79+W83)</f>
        <v>3834.4725340645236</v>
      </c>
      <c r="X87" s="91">
        <f>X65-(X71+X75+X79+X83)</f>
        <v>4017.0664642580741</v>
      </c>
      <c r="Y87" s="91">
        <f t="shared" ref="Y87:AA87" si="493">Y65-(Y71+Y75+Y79+Y83)</f>
        <v>4199.6603944516246</v>
      </c>
      <c r="Z87" s="91">
        <f>Z65-(Z71+Z75+Z79+Z83)</f>
        <v>4382.2543246451751</v>
      </c>
      <c r="AA87" s="91">
        <f t="shared" si="493"/>
        <v>4564.8482548387256</v>
      </c>
      <c r="AB87" s="91">
        <f t="shared" ref="AB87:AG87" si="494">AB65-(AB71+AB75+AB79+AB83)</f>
        <v>4747.442185032276</v>
      </c>
      <c r="AC87" s="91">
        <f t="shared" si="494"/>
        <v>4930.0361152258265</v>
      </c>
      <c r="AD87" s="91">
        <f t="shared" si="494"/>
        <v>5112.6300454193843</v>
      </c>
      <c r="AE87" s="91">
        <f t="shared" si="494"/>
        <v>5295.223975612942</v>
      </c>
      <c r="AF87" s="91">
        <f t="shared" si="494"/>
        <v>5477.8179058064925</v>
      </c>
      <c r="AG87" s="91">
        <f t="shared" si="494"/>
        <v>5660.411836000043</v>
      </c>
      <c r="AH87" s="1">
        <f>+AG88/AG87%</f>
        <v>106.53731079506497</v>
      </c>
      <c r="AI87" s="4" t="s">
        <v>16</v>
      </c>
      <c r="AJ87" s="11" t="s">
        <v>11</v>
      </c>
      <c r="AK87" s="183">
        <v>25145568.520898204</v>
      </c>
      <c r="AL87" s="72">
        <f>SUM(AK86:AK87)</f>
        <v>36710066.6191018</v>
      </c>
      <c r="AM87" s="6" t="s">
        <v>76</v>
      </c>
      <c r="AN87" s="6" t="s">
        <v>73</v>
      </c>
      <c r="AO87" s="6">
        <v>890682.1</v>
      </c>
    </row>
    <row r="88" spans="1:43" s="1" customFormat="1" ht="18.75" customHeight="1" thickBot="1" x14ac:dyDescent="0.3">
      <c r="A88" s="52" t="s">
        <v>47</v>
      </c>
      <c r="B88" s="55" t="s">
        <v>17</v>
      </c>
      <c r="C88" s="92">
        <f t="shared" ref="C88:Q88" si="495">C67-(C72+C76+C80+C84)+C107</f>
        <v>0</v>
      </c>
      <c r="D88" s="92">
        <f t="shared" si="495"/>
        <v>55.853999999999814</v>
      </c>
      <c r="E88" s="92">
        <f t="shared" si="495"/>
        <v>55.854000000000269</v>
      </c>
      <c r="F88" s="92">
        <f t="shared" si="495"/>
        <v>325.23250000000098</v>
      </c>
      <c r="G88" s="92">
        <f t="shared" si="495"/>
        <v>428.86750000000029</v>
      </c>
      <c r="H88" s="92">
        <f t="shared" si="495"/>
        <v>519.17799999999988</v>
      </c>
      <c r="I88" s="92">
        <f t="shared" si="495"/>
        <v>519.17799999999988</v>
      </c>
      <c r="J88" s="92">
        <f t="shared" si="495"/>
        <v>519.1780000000017</v>
      </c>
      <c r="K88" s="92">
        <f t="shared" si="495"/>
        <v>1462.2047200000015</v>
      </c>
      <c r="L88" s="92">
        <f t="shared" si="495"/>
        <v>1713.608400000001</v>
      </c>
      <c r="M88" s="92">
        <f t="shared" si="495"/>
        <v>1984.8046800000011</v>
      </c>
      <c r="N88" s="92">
        <f t="shared" si="495"/>
        <v>2229.2301800000023</v>
      </c>
      <c r="O88" s="92">
        <f t="shared" si="495"/>
        <v>2229.2301799999987</v>
      </c>
      <c r="P88" s="92">
        <f t="shared" si="495"/>
        <v>2229.2301800000023</v>
      </c>
      <c r="Q88" s="92">
        <f t="shared" si="495"/>
        <v>2229.2301800000023</v>
      </c>
      <c r="R88" s="92">
        <f>R67-(R72+R76+R80+R84)+R107</f>
        <v>3311.8098600000121</v>
      </c>
      <c r="S88" s="92">
        <f>S67-(S72+S76+S80+S84)+S107</f>
        <v>3415.4448600000105</v>
      </c>
      <c r="T88" s="92">
        <f>T67-(T72+T76+T80+T84)+T107</f>
        <v>3686.641140000007</v>
      </c>
      <c r="U88" s="92">
        <f>U67-(U72+U76+U80+U84)+U107</f>
        <v>3790.276140000009</v>
      </c>
      <c r="V88" s="92">
        <f t="shared" ref="V88:AG88" si="496">V67-(V72+V76+V80+V84)+V107</f>
        <v>4092.1598200000008</v>
      </c>
      <c r="W88" s="92">
        <f t="shared" si="496"/>
        <v>4092.159820000008</v>
      </c>
      <c r="X88" s="92">
        <f t="shared" si="496"/>
        <v>4092.159820000008</v>
      </c>
      <c r="Y88" s="92">
        <f t="shared" si="496"/>
        <v>4887.0902200000128</v>
      </c>
      <c r="Z88" s="92">
        <f t="shared" si="496"/>
        <v>5041.2052200000107</v>
      </c>
      <c r="AA88" s="92">
        <f t="shared" si="496"/>
        <v>5171.5893500000093</v>
      </c>
      <c r="AB88" s="92">
        <f t="shared" si="496"/>
        <v>6001.7997500000201</v>
      </c>
      <c r="AC88" s="92">
        <f t="shared" si="496"/>
        <v>6001.7997500000129</v>
      </c>
      <c r="AD88" s="92">
        <f t="shared" si="496"/>
        <v>6001.7997500000201</v>
      </c>
      <c r="AE88" s="92">
        <f t="shared" si="496"/>
        <v>6001.7997500000201</v>
      </c>
      <c r="AF88" s="92">
        <f t="shared" si="496"/>
        <v>6030.4505500000159</v>
      </c>
      <c r="AG88" s="92">
        <f t="shared" si="496"/>
        <v>6030.4505500000087</v>
      </c>
      <c r="AH88" s="109"/>
      <c r="AI88" s="4" t="s">
        <v>18</v>
      </c>
      <c r="AJ88" s="11"/>
      <c r="AK88" s="164">
        <v>0</v>
      </c>
      <c r="AL88" s="72"/>
      <c r="AM88" s="6" t="s">
        <v>77</v>
      </c>
      <c r="AN88" s="6" t="s">
        <v>78</v>
      </c>
      <c r="AO88" s="6">
        <v>169074</v>
      </c>
      <c r="AQ88" s="1">
        <v>72072.806400000001</v>
      </c>
    </row>
    <row r="89" spans="1:43" s="1" customFormat="1" ht="16.5" customHeight="1" thickBot="1" x14ac:dyDescent="0.3">
      <c r="A89" s="3"/>
      <c r="B89" s="2"/>
      <c r="C89" s="95"/>
      <c r="D89" s="96"/>
      <c r="E89" s="96"/>
      <c r="F89" s="96"/>
      <c r="G89" s="96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>
        <f>((Z67/Z90)*(COUNT(AA90:AG90)))+Z67</f>
        <v>49190.956765718467</v>
      </c>
      <c r="Y89" s="95">
        <f>COUNT(AA90:AG90)</f>
        <v>7</v>
      </c>
      <c r="Z89" s="95"/>
      <c r="AA89" s="95"/>
      <c r="AB89" s="95"/>
      <c r="AC89" s="95"/>
      <c r="AD89" s="95"/>
      <c r="AE89" s="95"/>
      <c r="AF89" s="95"/>
      <c r="AG89" s="95"/>
      <c r="AI89" s="4" t="s">
        <v>19</v>
      </c>
      <c r="AJ89" s="12"/>
      <c r="AK89" s="183">
        <v>4214292</v>
      </c>
      <c r="AL89" s="72"/>
      <c r="AM89" s="6" t="s">
        <v>79</v>
      </c>
      <c r="AN89" s="6" t="s">
        <v>73</v>
      </c>
      <c r="AO89" s="6">
        <v>0</v>
      </c>
      <c r="AQ89" s="1">
        <v>492176</v>
      </c>
    </row>
    <row r="90" spans="1:43" s="1" customFormat="1" ht="21.6" customHeight="1" thickBot="1" x14ac:dyDescent="0.3">
      <c r="A90" s="60"/>
      <c r="B90" s="61"/>
      <c r="C90" s="188">
        <f>C7</f>
        <v>46082</v>
      </c>
      <c r="D90" s="188">
        <f t="shared" ref="D90:AG90" si="497">D7</f>
        <v>46083</v>
      </c>
      <c r="E90" s="188">
        <f t="shared" si="497"/>
        <v>46084</v>
      </c>
      <c r="F90" s="188">
        <f t="shared" si="497"/>
        <v>46085</v>
      </c>
      <c r="G90" s="188">
        <f t="shared" si="497"/>
        <v>46086</v>
      </c>
      <c r="H90" s="188">
        <f t="shared" si="497"/>
        <v>46087</v>
      </c>
      <c r="I90" s="188">
        <f t="shared" si="497"/>
        <v>46088</v>
      </c>
      <c r="J90" s="188">
        <f t="shared" si="497"/>
        <v>46089</v>
      </c>
      <c r="K90" s="188">
        <f t="shared" si="497"/>
        <v>46090</v>
      </c>
      <c r="L90" s="188">
        <f t="shared" si="497"/>
        <v>46091</v>
      </c>
      <c r="M90" s="188">
        <f t="shared" si="497"/>
        <v>46092</v>
      </c>
      <c r="N90" s="188">
        <f t="shared" si="497"/>
        <v>46093</v>
      </c>
      <c r="O90" s="188">
        <f t="shared" si="497"/>
        <v>46094</v>
      </c>
      <c r="P90" s="188">
        <f t="shared" si="497"/>
        <v>46095</v>
      </c>
      <c r="Q90" s="188">
        <f t="shared" si="497"/>
        <v>46096</v>
      </c>
      <c r="R90" s="188">
        <f t="shared" si="497"/>
        <v>46097</v>
      </c>
      <c r="S90" s="188">
        <f t="shared" si="497"/>
        <v>46098</v>
      </c>
      <c r="T90" s="188">
        <f t="shared" si="497"/>
        <v>46099</v>
      </c>
      <c r="U90" s="188">
        <f t="shared" si="497"/>
        <v>46100</v>
      </c>
      <c r="V90" s="188">
        <f t="shared" si="497"/>
        <v>46101</v>
      </c>
      <c r="W90" s="188">
        <f t="shared" si="497"/>
        <v>46102</v>
      </c>
      <c r="X90" s="188">
        <f t="shared" si="497"/>
        <v>46103</v>
      </c>
      <c r="Y90" s="188">
        <f t="shared" si="497"/>
        <v>46104</v>
      </c>
      <c r="Z90" s="188">
        <f t="shared" si="497"/>
        <v>46105</v>
      </c>
      <c r="AA90" s="188">
        <f t="shared" si="497"/>
        <v>46106</v>
      </c>
      <c r="AB90" s="188">
        <f t="shared" si="497"/>
        <v>46107</v>
      </c>
      <c r="AC90" s="188">
        <f t="shared" si="497"/>
        <v>46108</v>
      </c>
      <c r="AD90" s="188">
        <f t="shared" si="497"/>
        <v>46109</v>
      </c>
      <c r="AE90" s="188">
        <f t="shared" si="497"/>
        <v>46110</v>
      </c>
      <c r="AF90" s="188">
        <f t="shared" si="497"/>
        <v>46111</v>
      </c>
      <c r="AG90" s="188">
        <f t="shared" si="497"/>
        <v>46112</v>
      </c>
      <c r="AI90" s="4" t="s">
        <v>21</v>
      </c>
      <c r="AJ90" s="12"/>
      <c r="AK90" s="183">
        <v>144121.81599999999</v>
      </c>
      <c r="AL90" s="72"/>
      <c r="AM90" s="6" t="s">
        <v>19</v>
      </c>
      <c r="AN90" s="6" t="s">
        <v>80</v>
      </c>
      <c r="AO90" s="6">
        <v>3750089.9999999995</v>
      </c>
      <c r="AQ90" s="1">
        <v>143640</v>
      </c>
    </row>
    <row r="91" spans="1:43" s="1" customFormat="1" ht="17.25" customHeight="1" x14ac:dyDescent="0.25">
      <c r="A91" s="37" t="s">
        <v>25</v>
      </c>
      <c r="B91" s="68" t="s">
        <v>15</v>
      </c>
      <c r="C91" s="97">
        <v>1169.479720287</v>
      </c>
      <c r="D91" s="97">
        <v>1229.044199832</v>
      </c>
      <c r="E91" s="97">
        <v>742.85025378300008</v>
      </c>
      <c r="F91" s="97">
        <v>1324.1315403180001</v>
      </c>
      <c r="G91" s="97">
        <v>2202.3746555910002</v>
      </c>
      <c r="H91" s="97">
        <v>1239.0649542360004</v>
      </c>
      <c r="I91" s="97">
        <v>1386.9264449789998</v>
      </c>
      <c r="J91" s="97">
        <v>1212.6463152839997</v>
      </c>
      <c r="K91" s="97">
        <v>1464.8678964390003</v>
      </c>
      <c r="L91" s="97">
        <v>1116.1172788739996</v>
      </c>
      <c r="M91" s="97">
        <v>1344.3724469699996</v>
      </c>
      <c r="N91" s="97">
        <v>1201.7495381849999</v>
      </c>
      <c r="O91" s="97">
        <v>1307.585282669</v>
      </c>
      <c r="P91" s="97">
        <v>1207.968117786</v>
      </c>
      <c r="Q91" s="97">
        <v>1283.4844248510001</v>
      </c>
      <c r="R91" s="97">
        <v>1011.810038643</v>
      </c>
      <c r="S91" s="97">
        <v>1268.8647419690003</v>
      </c>
      <c r="T91" s="97">
        <v>1459.6203498299999</v>
      </c>
      <c r="U91" s="97">
        <v>1098.2493415980005</v>
      </c>
      <c r="V91" s="97">
        <v>1121.0938979760001</v>
      </c>
      <c r="W91" s="97">
        <v>1332.122082588</v>
      </c>
      <c r="X91" s="97">
        <v>1363.8411933480002</v>
      </c>
      <c r="Y91" s="97">
        <v>1555.371049484</v>
      </c>
      <c r="Z91" s="97">
        <v>1592.0774819139999</v>
      </c>
      <c r="AA91" s="97">
        <v>1157.2772173889998</v>
      </c>
      <c r="AB91" s="97">
        <v>1215.5478239790004</v>
      </c>
      <c r="AC91" s="148">
        <v>1690.2115284339995</v>
      </c>
      <c r="AD91" s="148">
        <v>1476.3967752059993</v>
      </c>
      <c r="AE91" s="148">
        <v>1371.6510172559997</v>
      </c>
      <c r="AF91" s="148">
        <v>5951.2367166030035</v>
      </c>
      <c r="AG91" s="148">
        <v>1263.2390171189998</v>
      </c>
      <c r="AI91" s="4" t="s">
        <v>23</v>
      </c>
      <c r="AJ91" s="12"/>
      <c r="AK91" s="183">
        <v>924690</v>
      </c>
      <c r="AL91" s="72"/>
      <c r="AM91" s="6" t="s">
        <v>21</v>
      </c>
      <c r="AN91" s="6" t="s">
        <v>80</v>
      </c>
      <c r="AO91" s="6">
        <v>137043.39999999997</v>
      </c>
    </row>
    <row r="92" spans="1:43" s="1" customFormat="1" ht="18" customHeight="1" x14ac:dyDescent="0.25">
      <c r="A92" s="58"/>
      <c r="B92" s="70" t="s">
        <v>17</v>
      </c>
      <c r="C92" s="98">
        <f>+C91</f>
        <v>1169.479720287</v>
      </c>
      <c r="D92" s="98">
        <f>+C92+D91</f>
        <v>2398.5239201189997</v>
      </c>
      <c r="E92" s="98">
        <f>+D92+E91</f>
        <v>3141.3741739019997</v>
      </c>
      <c r="F92" s="98">
        <f>+E92+F91</f>
        <v>4465.5057142200003</v>
      </c>
      <c r="G92" s="98">
        <f>+F92+G91</f>
        <v>6667.8803698110005</v>
      </c>
      <c r="H92" s="98">
        <f t="shared" ref="H92" si="498">+G92+H91</f>
        <v>7906.9453240470011</v>
      </c>
      <c r="I92" s="98">
        <f t="shared" ref="I92" si="499">+H92+I91</f>
        <v>9293.8717690260019</v>
      </c>
      <c r="J92" s="98">
        <f t="shared" ref="J92" si="500">+I92+J91</f>
        <v>10506.518084310002</v>
      </c>
      <c r="K92" s="98">
        <f>+J92+K91</f>
        <v>11971.385980749003</v>
      </c>
      <c r="L92" s="98">
        <f t="shared" ref="L92" si="501">+K92+L91</f>
        <v>13087.503259623001</v>
      </c>
      <c r="M92" s="98">
        <f t="shared" ref="M92" si="502">+L92+M91</f>
        <v>14431.875706593</v>
      </c>
      <c r="N92" s="98">
        <f t="shared" ref="N92" si="503">+M92+N91</f>
        <v>15633.625244778001</v>
      </c>
      <c r="O92" s="98">
        <f t="shared" ref="O92" si="504">+N92+O91</f>
        <v>16941.210527447001</v>
      </c>
      <c r="P92" s="98">
        <f t="shared" ref="P92:Y92" si="505">+O92+P91</f>
        <v>18149.178645233002</v>
      </c>
      <c r="Q92" s="98">
        <f t="shared" si="505"/>
        <v>19432.663070084003</v>
      </c>
      <c r="R92" s="98">
        <f t="shared" si="505"/>
        <v>20444.473108727005</v>
      </c>
      <c r="S92" s="98">
        <f>+R92+S91</f>
        <v>21713.337850696003</v>
      </c>
      <c r="T92" s="98">
        <f>+S92+T91</f>
        <v>23172.958200526002</v>
      </c>
      <c r="U92" s="98">
        <f t="shared" si="505"/>
        <v>24271.207542124001</v>
      </c>
      <c r="V92" s="98">
        <f t="shared" si="505"/>
        <v>25392.3014401</v>
      </c>
      <c r="W92" s="98">
        <f t="shared" si="505"/>
        <v>26724.423522688001</v>
      </c>
      <c r="X92" s="98">
        <f t="shared" si="505"/>
        <v>28088.264716035999</v>
      </c>
      <c r="Y92" s="98">
        <f t="shared" si="505"/>
        <v>29643.635765520001</v>
      </c>
      <c r="Z92" s="98">
        <f>+Y92+Z91</f>
        <v>31235.713247434</v>
      </c>
      <c r="AA92" s="98">
        <f>+Z92+AA91</f>
        <v>32392.990464823</v>
      </c>
      <c r="AB92" s="98">
        <f t="shared" ref="AB92" si="506">+AA92+AB91</f>
        <v>33608.538288802003</v>
      </c>
      <c r="AC92" s="98">
        <f t="shared" ref="AC92" si="507">+AB92+AC91</f>
        <v>35298.749817235999</v>
      </c>
      <c r="AD92" s="98">
        <f t="shared" ref="AD92" si="508">+AC92+AD91</f>
        <v>36775.146592441997</v>
      </c>
      <c r="AE92" s="98">
        <f>+AD92+AE91</f>
        <v>38146.797609697998</v>
      </c>
      <c r="AF92" s="98">
        <f>+AE92+AF91</f>
        <v>44098.034326301</v>
      </c>
      <c r="AG92" s="98">
        <f t="shared" ref="AG92" si="509">+AF92+AG91</f>
        <v>45361.273343419998</v>
      </c>
      <c r="AH92" s="1">
        <f>AG92*1000</f>
        <v>45361273.343419999</v>
      </c>
      <c r="AI92" s="4" t="s">
        <v>64</v>
      </c>
      <c r="AJ92" s="12"/>
      <c r="AK92" s="164">
        <v>0</v>
      </c>
      <c r="AL92" s="72"/>
      <c r="AM92" s="6" t="s">
        <v>31</v>
      </c>
      <c r="AN92" s="6" t="s">
        <v>80</v>
      </c>
      <c r="AO92" s="6">
        <v>469719.99999999994</v>
      </c>
    </row>
    <row r="93" spans="1:43" s="1" customFormat="1" ht="17.25" customHeight="1" x14ac:dyDescent="0.25">
      <c r="A93" s="37" t="s">
        <v>20</v>
      </c>
      <c r="B93" s="68" t="s">
        <v>15</v>
      </c>
      <c r="C93" s="97">
        <v>324.04275159999986</v>
      </c>
      <c r="D93" s="97">
        <v>370.16006709999994</v>
      </c>
      <c r="E93" s="97">
        <v>347.46712209999993</v>
      </c>
      <c r="F93" s="97">
        <v>341.77950739999989</v>
      </c>
      <c r="G93" s="97">
        <v>337.91107919999996</v>
      </c>
      <c r="H93" s="97">
        <v>310.54701340000003</v>
      </c>
      <c r="I93" s="97">
        <v>360.86408660000001</v>
      </c>
      <c r="J93" s="97">
        <v>339.83154000000002</v>
      </c>
      <c r="K93" s="97">
        <v>402.59159879999999</v>
      </c>
      <c r="L93" s="97">
        <v>362.48447540000001</v>
      </c>
      <c r="M93" s="97">
        <v>379.16847860000001</v>
      </c>
      <c r="N93" s="97">
        <v>316.15835980000003</v>
      </c>
      <c r="O93" s="97">
        <v>293.72797780000002</v>
      </c>
      <c r="P93" s="97">
        <v>316.36215870000001</v>
      </c>
      <c r="Q93" s="97">
        <v>315.27314740000003</v>
      </c>
      <c r="R93" s="97">
        <v>358.33097880000003</v>
      </c>
      <c r="S93" s="97">
        <v>310.92710460000001</v>
      </c>
      <c r="T93" s="97">
        <v>363.76603290000003</v>
      </c>
      <c r="U93" s="155">
        <v>367.36064540000001</v>
      </c>
      <c r="V93" s="155">
        <v>309.15918040000003</v>
      </c>
      <c r="W93" s="155">
        <v>362.61950780000001</v>
      </c>
      <c r="X93" s="97">
        <v>304.33427269999999</v>
      </c>
      <c r="Y93" s="97">
        <v>357.39075320000001</v>
      </c>
      <c r="Z93" s="97">
        <v>309.69805969999999</v>
      </c>
      <c r="AA93" s="97">
        <v>325.32680970000001</v>
      </c>
      <c r="AB93" s="97">
        <v>325.85443629999997</v>
      </c>
      <c r="AC93" s="148">
        <v>192.88128040000001</v>
      </c>
      <c r="AD93" s="148">
        <v>263.30692850000003</v>
      </c>
      <c r="AE93" s="148">
        <v>246.76045830000001</v>
      </c>
      <c r="AF93" s="148">
        <v>279.89215799999999</v>
      </c>
      <c r="AG93" s="148">
        <v>213.16989849999999</v>
      </c>
      <c r="AI93" s="4" t="s">
        <v>24</v>
      </c>
      <c r="AJ93" s="12"/>
      <c r="AK93" s="183">
        <v>621780</v>
      </c>
      <c r="AL93" s="72"/>
      <c r="AM93" s="6" t="s">
        <v>81</v>
      </c>
      <c r="AN93" s="6" t="s">
        <v>80</v>
      </c>
      <c r="AO93" s="6">
        <v>2060771.4000000001</v>
      </c>
    </row>
    <row r="94" spans="1:43" s="1" customFormat="1" ht="17.25" customHeight="1" x14ac:dyDescent="0.25">
      <c r="A94" s="58"/>
      <c r="B94" s="70" t="s">
        <v>17</v>
      </c>
      <c r="C94" s="98">
        <f>+C93</f>
        <v>324.04275159999986</v>
      </c>
      <c r="D94" s="98">
        <f>+C94+D93</f>
        <v>694.20281869999985</v>
      </c>
      <c r="E94" s="98">
        <f>+D94+E93</f>
        <v>1041.6699407999997</v>
      </c>
      <c r="F94" s="98">
        <f>+E94+F93</f>
        <v>1383.4494481999996</v>
      </c>
      <c r="G94" s="98">
        <f>+F94+G93</f>
        <v>1721.3605273999995</v>
      </c>
      <c r="H94" s="98">
        <f t="shared" ref="H94" si="510">+G94+H93</f>
        <v>2031.9075407999994</v>
      </c>
      <c r="I94" s="98">
        <f t="shared" ref="I94" si="511">+H94+I93</f>
        <v>2392.7716273999995</v>
      </c>
      <c r="J94" s="98">
        <f t="shared" ref="J94" si="512">+I94+J93</f>
        <v>2732.6031673999996</v>
      </c>
      <c r="K94" s="98">
        <f>+J94+K93</f>
        <v>3135.1947661999998</v>
      </c>
      <c r="L94" s="98">
        <f t="shared" ref="L94" si="513">+K94+L93</f>
        <v>3497.6792415999998</v>
      </c>
      <c r="M94" s="98">
        <f t="shared" ref="M94" si="514">+L94+M93</f>
        <v>3876.8477201999999</v>
      </c>
      <c r="N94" s="98">
        <f t="shared" ref="N94" si="515">+M94+N93</f>
        <v>4193.0060800000001</v>
      </c>
      <c r="O94" s="98">
        <f t="shared" ref="O94" si="516">+N94+O93</f>
        <v>4486.7340578000003</v>
      </c>
      <c r="P94" s="98">
        <f t="shared" ref="P94" si="517">+O94+P93</f>
        <v>4803.0962165000001</v>
      </c>
      <c r="Q94" s="98">
        <f t="shared" ref="Q94" si="518">+P94+Q93</f>
        <v>5118.3693639000003</v>
      </c>
      <c r="R94" s="98">
        <f t="shared" ref="R94" si="519">+Q94+R93</f>
        <v>5476.7003427</v>
      </c>
      <c r="S94" s="98">
        <f t="shared" ref="S94" si="520">+R94+S93</f>
        <v>5787.6274473000003</v>
      </c>
      <c r="T94" s="98">
        <f t="shared" ref="T94" si="521">+S94+T93</f>
        <v>6151.3934802000003</v>
      </c>
      <c r="U94" s="98">
        <f t="shared" ref="U94" si="522">+T94+U93</f>
        <v>6518.7541256000004</v>
      </c>
      <c r="V94" s="98">
        <f t="shared" ref="V94" si="523">+U94+V93</f>
        <v>6827.9133060000004</v>
      </c>
      <c r="W94" s="98">
        <f t="shared" ref="W94" si="524">+V94+W93</f>
        <v>7190.5328138000004</v>
      </c>
      <c r="X94" s="98">
        <f t="shared" ref="X94" si="525">+W94+X93</f>
        <v>7494.8670865000004</v>
      </c>
      <c r="Y94" s="98">
        <f t="shared" ref="Y94" si="526">+X94+Y93</f>
        <v>7852.2578397000007</v>
      </c>
      <c r="Z94" s="98">
        <f>+Y94+Z93</f>
        <v>8161.9558994000008</v>
      </c>
      <c r="AA94" s="98">
        <f>+Z94+AA93</f>
        <v>8487.2827090999999</v>
      </c>
      <c r="AB94" s="98">
        <f t="shared" ref="AB94" si="527">+AA94+AB93</f>
        <v>8813.1371454</v>
      </c>
      <c r="AC94" s="98">
        <f t="shared" ref="AC94" si="528">+AB94+AC93</f>
        <v>9006.0184258000008</v>
      </c>
      <c r="AD94" s="98">
        <f t="shared" ref="AD94" si="529">+AC94+AD93</f>
        <v>9269.325354300001</v>
      </c>
      <c r="AE94" s="98">
        <f>+AD94+AE93</f>
        <v>9516.0858126000003</v>
      </c>
      <c r="AF94" s="98">
        <f>+AE94+AF93</f>
        <v>9795.9779706000008</v>
      </c>
      <c r="AG94" s="98">
        <f t="shared" ref="AG94" si="530">+AF94+AG93</f>
        <v>10009.147869100001</v>
      </c>
      <c r="AI94" s="4" t="s">
        <v>26</v>
      </c>
      <c r="AJ94" s="12"/>
      <c r="AK94" s="183">
        <v>1100011.5</v>
      </c>
      <c r="AL94" s="72"/>
      <c r="AM94" s="6">
        <f>+AJ96/1000000</f>
        <v>68.521226742857138</v>
      </c>
      <c r="AN94" s="6"/>
      <c r="AO94" s="6"/>
    </row>
    <row r="95" spans="1:43" s="1" customFormat="1" ht="17.25" customHeight="1" x14ac:dyDescent="0.25">
      <c r="A95" s="37" t="s">
        <v>20</v>
      </c>
      <c r="B95" s="71" t="s">
        <v>15</v>
      </c>
      <c r="C95" s="97">
        <v>212.1959148</v>
      </c>
      <c r="D95" s="97">
        <v>265.32741329999999</v>
      </c>
      <c r="E95" s="97">
        <v>235.62028529999998</v>
      </c>
      <c r="F95" s="97">
        <v>236.9468536</v>
      </c>
      <c r="G95" s="97">
        <v>207.25973040000002</v>
      </c>
      <c r="H95" s="97">
        <v>198.70017659999999</v>
      </c>
      <c r="I95" s="97">
        <v>256.0314328</v>
      </c>
      <c r="J95" s="97">
        <v>218.2423656</v>
      </c>
      <c r="K95" s="97">
        <v>281.0024244</v>
      </c>
      <c r="L95" s="97">
        <v>253.36579320000001</v>
      </c>
      <c r="M95" s="97">
        <v>257.57930420000002</v>
      </c>
      <c r="N95" s="97">
        <v>201.58336840000001</v>
      </c>
      <c r="O95" s="97">
        <v>165.1246204</v>
      </c>
      <c r="P95" s="97">
        <v>221.27184249999999</v>
      </c>
      <c r="Q95" s="97">
        <v>211.12065680000001</v>
      </c>
      <c r="R95" s="97">
        <v>246.48414199999999</v>
      </c>
      <c r="S95" s="97">
        <v>206.77461400000001</v>
      </c>
      <c r="T95" s="155">
        <v>260.98137050000003</v>
      </c>
      <c r="U95" s="155">
        <v>281.3325036</v>
      </c>
      <c r="V95" s="155">
        <v>207.0546812</v>
      </c>
      <c r="W95" s="97">
        <v>258.46701719999999</v>
      </c>
      <c r="X95" s="97">
        <v>227.55835089999999</v>
      </c>
      <c r="Y95" s="97">
        <v>245.5439164</v>
      </c>
      <c r="Z95" s="97">
        <v>197.85122290000001</v>
      </c>
      <c r="AA95" s="97">
        <v>261.02138009999999</v>
      </c>
      <c r="AB95" s="148">
        <v>249.07851450000001</v>
      </c>
      <c r="AC95" s="148">
        <v>114.54748480000001</v>
      </c>
      <c r="AD95" s="148">
        <v>208.0636733</v>
      </c>
      <c r="AE95" s="148">
        <v>170.47465410000001</v>
      </c>
      <c r="AF95" s="148">
        <v>233.030914</v>
      </c>
      <c r="AG95" s="148">
        <v>164.9408263</v>
      </c>
      <c r="AI95" s="4" t="s">
        <v>71</v>
      </c>
      <c r="AK95" s="164">
        <v>3491588.52</v>
      </c>
      <c r="AL95" s="72"/>
      <c r="AM95" s="6"/>
      <c r="AN95" s="6"/>
      <c r="AO95" s="6"/>
    </row>
    <row r="96" spans="1:43" s="1" customFormat="1" ht="17.25" customHeight="1" thickBot="1" x14ac:dyDescent="0.3">
      <c r="A96" s="59" t="s">
        <v>11</v>
      </c>
      <c r="B96" s="69" t="s">
        <v>17</v>
      </c>
      <c r="C96" s="112">
        <f>+C95</f>
        <v>212.1959148</v>
      </c>
      <c r="D96" s="99">
        <f t="shared" ref="D96:AG96" si="531">+C96+D95</f>
        <v>477.52332809999996</v>
      </c>
      <c r="E96" s="99">
        <f t="shared" si="531"/>
        <v>713.14361339999994</v>
      </c>
      <c r="F96" s="99">
        <f t="shared" ref="F96" si="532">+E96+F95</f>
        <v>950.09046699999999</v>
      </c>
      <c r="G96" s="99">
        <f t="shared" ref="G96" si="533">+F96+G95</f>
        <v>1157.3501974000001</v>
      </c>
      <c r="H96" s="99">
        <f t="shared" ref="H96" si="534">+G96+H95</f>
        <v>1356.0503740000001</v>
      </c>
      <c r="I96" s="99">
        <f t="shared" ref="I96" si="535">+H96+I95</f>
        <v>1612.0818068000001</v>
      </c>
      <c r="J96" s="99">
        <f t="shared" ref="J96" si="536">+I96+J95</f>
        <v>1830.3241724000002</v>
      </c>
      <c r="K96" s="99">
        <f t="shared" ref="K96" si="537">+J96+K95</f>
        <v>2111.3265968000001</v>
      </c>
      <c r="L96" s="99">
        <f t="shared" ref="L96" si="538">+K96+L95</f>
        <v>2364.6923900000002</v>
      </c>
      <c r="M96" s="99">
        <f t="shared" ref="M96" si="539">+L96+M95</f>
        <v>2622.2716942000002</v>
      </c>
      <c r="N96" s="99">
        <f t="shared" ref="N96" si="540">+M96+N95</f>
        <v>2823.8550626000001</v>
      </c>
      <c r="O96" s="99">
        <f t="shared" ref="O96" si="541">+N96+O95</f>
        <v>2988.979683</v>
      </c>
      <c r="P96" s="99">
        <f t="shared" ref="P96" si="542">+O96+P95</f>
        <v>3210.2515254999998</v>
      </c>
      <c r="Q96" s="99">
        <f t="shared" ref="Q96" si="543">+P96+Q95</f>
        <v>3421.3721822999996</v>
      </c>
      <c r="R96" s="99">
        <f t="shared" ref="R96" si="544">+Q96+R95</f>
        <v>3667.8563242999994</v>
      </c>
      <c r="S96" s="99">
        <f t="shared" ref="S96" si="545">+R96+S95</f>
        <v>3874.6309382999993</v>
      </c>
      <c r="T96" s="99">
        <f t="shared" ref="T96" si="546">+S96+T95</f>
        <v>4135.6123087999995</v>
      </c>
      <c r="U96" s="99">
        <f t="shared" si="531"/>
        <v>4416.9448123999991</v>
      </c>
      <c r="V96" s="99">
        <f t="shared" si="531"/>
        <v>4623.9994935999994</v>
      </c>
      <c r="W96" s="99">
        <f t="shared" si="531"/>
        <v>4882.466510799999</v>
      </c>
      <c r="X96" s="99">
        <f t="shared" si="531"/>
        <v>5110.0248616999988</v>
      </c>
      <c r="Y96" s="99">
        <f t="shared" si="531"/>
        <v>5355.5687780999988</v>
      </c>
      <c r="Z96" s="99">
        <f>+Y96+Z95</f>
        <v>5553.4200009999986</v>
      </c>
      <c r="AA96" s="99">
        <f>+Z96+AA95</f>
        <v>5814.4413810999986</v>
      </c>
      <c r="AB96" s="99">
        <f t="shared" si="531"/>
        <v>6063.5198955999986</v>
      </c>
      <c r="AC96" s="99">
        <f t="shared" si="531"/>
        <v>6178.0673803999989</v>
      </c>
      <c r="AD96" s="145">
        <f>+AC96+AD95</f>
        <v>6386.131053699999</v>
      </c>
      <c r="AE96" s="99">
        <f t="shared" si="531"/>
        <v>6556.6057077999994</v>
      </c>
      <c r="AF96" s="99">
        <f t="shared" si="531"/>
        <v>6789.6366217999994</v>
      </c>
      <c r="AG96" s="99">
        <f t="shared" si="531"/>
        <v>6954.5774480999989</v>
      </c>
      <c r="AI96" s="4" t="s">
        <v>58</v>
      </c>
      <c r="AJ96" s="13">
        <v>68521226.742857143</v>
      </c>
      <c r="AK96" s="34">
        <f>SUM(AK84:AK95)</f>
        <v>56024101.770411186</v>
      </c>
      <c r="AL96" s="6"/>
      <c r="AM96" s="6"/>
      <c r="AN96" s="6"/>
      <c r="AO96" s="6"/>
    </row>
    <row r="97" spans="1:43" s="64" customFormat="1" ht="16.5" customHeight="1" x14ac:dyDescent="0.25">
      <c r="A97" s="65"/>
      <c r="B97" s="66"/>
      <c r="C97" s="64">
        <f t="shared" ref="C97:N97" si="547">+C94-C96</f>
        <v>111.84683679999986</v>
      </c>
      <c r="D97" s="64">
        <f t="shared" si="547"/>
        <v>216.67949059999989</v>
      </c>
      <c r="E97" s="64">
        <f t="shared" si="547"/>
        <v>328.52632739999979</v>
      </c>
      <c r="F97" s="64">
        <f t="shared" si="547"/>
        <v>433.35898119999956</v>
      </c>
      <c r="G97" s="64">
        <f t="shared" si="547"/>
        <v>564.01032999999939</v>
      </c>
      <c r="H97" s="64">
        <f t="shared" si="547"/>
        <v>675.85716679999928</v>
      </c>
      <c r="I97" s="64">
        <f t="shared" si="547"/>
        <v>780.68982059999939</v>
      </c>
      <c r="J97" s="64">
        <f t="shared" si="547"/>
        <v>902.27899499999944</v>
      </c>
      <c r="K97" s="64">
        <f>+K94-K96</f>
        <v>1023.8681693999997</v>
      </c>
      <c r="L97" s="64">
        <f t="shared" si="547"/>
        <v>1132.9868515999997</v>
      </c>
      <c r="M97" s="64">
        <f t="shared" si="547"/>
        <v>1254.5760259999997</v>
      </c>
      <c r="N97" s="64">
        <f t="shared" si="547"/>
        <v>1369.1510174</v>
      </c>
      <c r="O97" s="64">
        <f>+O94-O96</f>
        <v>1497.7543748000003</v>
      </c>
      <c r="P97" s="64">
        <f t="shared" ref="P97" si="548">+P94-P96</f>
        <v>1592.8446910000002</v>
      </c>
      <c r="Q97" s="64">
        <f>+Q94-Q96</f>
        <v>1696.9971816000007</v>
      </c>
      <c r="R97" s="64">
        <f t="shared" ref="R97:S97" si="549">+R98-R95</f>
        <v>-12.88637699840001</v>
      </c>
      <c r="S97" s="64">
        <f t="shared" si="549"/>
        <v>8.5570702495999456</v>
      </c>
      <c r="T97" s="64">
        <f>+T94-T96</f>
        <v>2015.7811714000009</v>
      </c>
      <c r="U97" s="64">
        <f t="shared" ref="U97:X97" si="550">+U94-U96</f>
        <v>2101.8093132000013</v>
      </c>
      <c r="V97" s="64">
        <f t="shared" si="550"/>
        <v>2203.913812400001</v>
      </c>
      <c r="W97" s="64">
        <f t="shared" si="550"/>
        <v>2308.0663030000014</v>
      </c>
      <c r="X97" s="64">
        <f t="shared" si="550"/>
        <v>2384.8422248000015</v>
      </c>
      <c r="Y97" s="64">
        <f>+Y94-Y96</f>
        <v>2496.6890616000019</v>
      </c>
      <c r="AA97" s="64">
        <f t="shared" ref="AA97" si="551">+AA94-AA96</f>
        <v>2672.8413280000013</v>
      </c>
      <c r="AG97" s="64">
        <f t="shared" ref="AG97" si="552">+AG94-AG96</f>
        <v>3054.5704210000022</v>
      </c>
      <c r="AH97" s="1"/>
      <c r="AI97" s="6"/>
      <c r="AJ97" s="35"/>
      <c r="AK97" s="186">
        <v>56024101.770411186</v>
      </c>
      <c r="AL97" s="6"/>
      <c r="AM97" s="135" t="s">
        <v>63</v>
      </c>
      <c r="AN97" s="6"/>
      <c r="AO97" s="6"/>
      <c r="AP97" s="1"/>
    </row>
    <row r="98" spans="1:43" s="64" customFormat="1" ht="16.5" customHeight="1" x14ac:dyDescent="0.25">
      <c r="A98" s="65"/>
      <c r="B98" s="66"/>
      <c r="C98" s="67">
        <v>175.680251712</v>
      </c>
      <c r="D98" s="67">
        <v>216.71665934399999</v>
      </c>
      <c r="E98" s="67">
        <v>241.16560182720002</v>
      </c>
      <c r="F98" s="67">
        <v>255.57215613119996</v>
      </c>
      <c r="G98" s="67">
        <v>246.39369232319999</v>
      </c>
      <c r="H98" s="67">
        <v>217.63919459519994</v>
      </c>
      <c r="I98" s="67">
        <v>269.43773201279993</v>
      </c>
      <c r="J98" s="67">
        <v>252.30870233279998</v>
      </c>
      <c r="K98" s="67">
        <v>254.83365904320002</v>
      </c>
      <c r="L98" s="67">
        <v>204.53995596959999</v>
      </c>
      <c r="M98" s="67">
        <v>255.56307144479999</v>
      </c>
      <c r="N98" s="67">
        <v>276.57214138080002</v>
      </c>
      <c r="O98" s="67">
        <v>58.901003856000003</v>
      </c>
      <c r="P98" s="64">
        <v>81.404651231999992</v>
      </c>
      <c r="Q98" s="64">
        <v>85.413635423999992</v>
      </c>
      <c r="R98" s="67">
        <v>233.59776500159998</v>
      </c>
      <c r="S98" s="67">
        <v>215.33168424959996</v>
      </c>
      <c r="T98" s="64">
        <v>236.84891051519998</v>
      </c>
      <c r="U98" s="64">
        <v>229.7980216512</v>
      </c>
      <c r="V98" s="64">
        <v>290.51889333119999</v>
      </c>
      <c r="W98" s="64">
        <v>289.93249147679995</v>
      </c>
      <c r="X98" s="64">
        <v>199.8261759456</v>
      </c>
      <c r="Y98" s="64">
        <v>254.85593117759998</v>
      </c>
      <c r="Z98" s="64">
        <f>+Z94-Z96</f>
        <v>2608.5358984000022</v>
      </c>
      <c r="AA98" s="64">
        <v>256.85593117759998</v>
      </c>
      <c r="AB98" s="64">
        <v>262.38215427839992</v>
      </c>
      <c r="AC98" s="64">
        <v>263.38215427839998</v>
      </c>
      <c r="AD98" s="64">
        <v>264.38215427839998</v>
      </c>
      <c r="AE98" s="64">
        <v>265.38215427839998</v>
      </c>
      <c r="AF98" s="64">
        <v>266.38215427839998</v>
      </c>
      <c r="AG98" s="64">
        <f>+AG23</f>
        <v>30235.651377675003</v>
      </c>
      <c r="AH98" s="1"/>
      <c r="AI98" s="6"/>
      <c r="AJ98" s="35"/>
      <c r="AK98" s="6"/>
      <c r="AL98" s="6"/>
      <c r="AM98" s="138" t="s">
        <v>54</v>
      </c>
      <c r="AN98" s="139">
        <f>+AL85/1000</f>
        <v>8817.5513153093816</v>
      </c>
      <c r="AO98" s="6"/>
      <c r="AP98" s="1"/>
    </row>
    <row r="99" spans="1:43" s="64" customFormat="1" ht="16.5" customHeight="1" x14ac:dyDescent="0.25">
      <c r="A99" s="65"/>
      <c r="B99" s="66"/>
      <c r="C99" s="67">
        <f>+C98-C93</f>
        <v>-148.36249988799986</v>
      </c>
      <c r="D99" s="67">
        <f t="shared" ref="D99:AB99" si="553">+D98-D93</f>
        <v>-153.44340775599994</v>
      </c>
      <c r="E99" s="67">
        <f t="shared" si="553"/>
        <v>-106.30152027279991</v>
      </c>
      <c r="F99" s="67">
        <f t="shared" si="553"/>
        <v>-86.207351268799925</v>
      </c>
      <c r="G99" s="67">
        <f t="shared" si="553"/>
        <v>-91.517386876799975</v>
      </c>
      <c r="H99" s="67">
        <f t="shared" si="553"/>
        <v>-92.907818804800087</v>
      </c>
      <c r="I99" s="67">
        <f t="shared" si="553"/>
        <v>-91.42635458720008</v>
      </c>
      <c r="J99" s="67">
        <f t="shared" si="553"/>
        <v>-87.522837667200037</v>
      </c>
      <c r="K99" s="67">
        <f t="shared" si="553"/>
        <v>-147.75793975679997</v>
      </c>
      <c r="L99" s="67">
        <f t="shared" si="553"/>
        <v>-157.94451943040002</v>
      </c>
      <c r="M99" s="67">
        <f t="shared" si="553"/>
        <v>-123.60540715520003</v>
      </c>
      <c r="N99" s="67">
        <f t="shared" si="553"/>
        <v>-39.586218419200009</v>
      </c>
      <c r="O99" s="67">
        <f t="shared" si="553"/>
        <v>-234.82697394400003</v>
      </c>
      <c r="P99" s="67">
        <f t="shared" si="553"/>
        <v>-234.95750746800002</v>
      </c>
      <c r="Q99" s="67">
        <f t="shared" si="553"/>
        <v>-229.85951197600002</v>
      </c>
      <c r="R99" s="67">
        <f t="shared" si="553"/>
        <v>-124.73321379840004</v>
      </c>
      <c r="S99" s="67">
        <f t="shared" si="553"/>
        <v>-95.595420350400047</v>
      </c>
      <c r="T99" s="67">
        <f t="shared" si="553"/>
        <v>-126.91712238480005</v>
      </c>
      <c r="U99" s="67">
        <f t="shared" si="553"/>
        <v>-137.56262374880001</v>
      </c>
      <c r="V99" s="67">
        <f t="shared" si="553"/>
        <v>-18.640287068800035</v>
      </c>
      <c r="W99" s="67">
        <f t="shared" si="553"/>
        <v>-72.687016323200055</v>
      </c>
      <c r="X99" s="67">
        <f t="shared" si="553"/>
        <v>-104.50809675439999</v>
      </c>
      <c r="Y99" s="67">
        <f t="shared" si="553"/>
        <v>-102.53482202240002</v>
      </c>
      <c r="Z99" s="64">
        <v>255.85593117760001</v>
      </c>
      <c r="AA99" s="67">
        <f t="shared" si="553"/>
        <v>-68.470878522400028</v>
      </c>
      <c r="AB99" s="67">
        <f t="shared" si="553"/>
        <v>-63.472282021600051</v>
      </c>
      <c r="AC99" s="67">
        <f t="shared" ref="AC99:AF99" si="554">+AC98-AC93</f>
        <v>70.500873878399972</v>
      </c>
      <c r="AD99" s="67">
        <f t="shared" si="554"/>
        <v>1.0752257783999539</v>
      </c>
      <c r="AE99" s="67">
        <f t="shared" si="554"/>
        <v>18.62169597839997</v>
      </c>
      <c r="AF99" s="67">
        <f t="shared" si="554"/>
        <v>-13.510003721600015</v>
      </c>
      <c r="AG99" s="64">
        <f t="shared" ref="AG99" si="555">+AG92-AG98</f>
        <v>15125.621965744995</v>
      </c>
      <c r="AH99" s="1"/>
      <c r="AI99" s="6"/>
      <c r="AJ99" s="135" t="s">
        <v>59</v>
      </c>
      <c r="AK99" s="6"/>
      <c r="AL99" s="6"/>
      <c r="AM99" s="138" t="s">
        <v>30</v>
      </c>
      <c r="AN99" s="140">
        <f>+AL87/1000</f>
        <v>36710.066619101803</v>
      </c>
      <c r="AO99" s="6"/>
      <c r="AP99" s="1"/>
    </row>
    <row r="100" spans="1:43" s="64" customFormat="1" ht="16.5" customHeight="1" x14ac:dyDescent="0.25">
      <c r="A100" s="114" t="s">
        <v>48</v>
      </c>
      <c r="B100" s="66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R100" s="67"/>
      <c r="S100" s="67"/>
      <c r="T100" s="67"/>
      <c r="U100" s="67"/>
      <c r="V100" s="67"/>
      <c r="W100" s="67"/>
      <c r="X100" s="67"/>
      <c r="Y100" s="67"/>
      <c r="Z100" s="67">
        <f>+Z99-Z93</f>
        <v>-53.842128522399975</v>
      </c>
      <c r="AH100" s="1"/>
      <c r="AI100" s="6"/>
      <c r="AJ100" s="136" t="s">
        <v>42</v>
      </c>
      <c r="AK100" s="6">
        <f>+AH67</f>
        <v>66685315.762520008</v>
      </c>
      <c r="AL100" s="6"/>
      <c r="AM100" s="138" t="s">
        <v>29</v>
      </c>
      <c r="AN100" s="140">
        <f>+AK89/1000</f>
        <v>4214.2920000000004</v>
      </c>
      <c r="AO100" s="6"/>
      <c r="AP100" s="1"/>
    </row>
    <row r="101" spans="1:43" s="1" customFormat="1" ht="17.25" customHeight="1" x14ac:dyDescent="0.25">
      <c r="A101" s="116" t="s">
        <v>28</v>
      </c>
      <c r="B101" s="113" t="s">
        <v>15</v>
      </c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I101" s="6"/>
      <c r="AJ101" s="136" t="s">
        <v>60</v>
      </c>
      <c r="AK101" s="6">
        <f>+AF96*1000</f>
        <v>6789636.6217999989</v>
      </c>
      <c r="AL101" s="6"/>
      <c r="AM101" s="138" t="s">
        <v>27</v>
      </c>
      <c r="AN101" s="140">
        <f>+AK90/1000</f>
        <v>144.121816</v>
      </c>
      <c r="AO101" s="6"/>
      <c r="AQ101" s="64"/>
    </row>
    <row r="102" spans="1:43" s="1" customFormat="1" ht="18" customHeight="1" x14ac:dyDescent="0.25">
      <c r="A102" s="116" t="s">
        <v>49</v>
      </c>
      <c r="B102" s="113" t="s">
        <v>15</v>
      </c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I102" s="6"/>
      <c r="AJ102" s="136" t="s">
        <v>61</v>
      </c>
      <c r="AK102" s="6">
        <f>+AH23</f>
        <v>30235651.377675004</v>
      </c>
      <c r="AL102" s="6"/>
      <c r="AM102" s="138" t="s">
        <v>36</v>
      </c>
      <c r="AN102" s="140">
        <f>+AK93/1000</f>
        <v>621.78</v>
      </c>
      <c r="AO102" s="6"/>
      <c r="AQ102" s="64"/>
    </row>
    <row r="103" spans="1:43" s="1" customFormat="1" ht="17.100000000000001" customHeight="1" x14ac:dyDescent="0.25">
      <c r="A103" s="116" t="s">
        <v>26</v>
      </c>
      <c r="B103" s="113" t="s">
        <v>15</v>
      </c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I103" s="6"/>
      <c r="AJ103" s="35"/>
      <c r="AK103" s="6"/>
      <c r="AL103" s="6"/>
      <c r="AM103" s="138" t="s">
        <v>34</v>
      </c>
      <c r="AN103" s="140">
        <f>+AK94/1000</f>
        <v>1100.0115000000001</v>
      </c>
      <c r="AO103" s="6"/>
      <c r="AQ103" s="64"/>
    </row>
    <row r="104" spans="1:43" s="1" customFormat="1" ht="17.100000000000001" customHeight="1" thickBot="1" x14ac:dyDescent="0.3">
      <c r="A104" s="116" t="s">
        <v>0</v>
      </c>
      <c r="B104" s="113" t="s">
        <v>15</v>
      </c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I104" s="6"/>
      <c r="AJ104" s="136" t="s">
        <v>44</v>
      </c>
      <c r="AK104" s="6">
        <f>+AG97*1000</f>
        <v>3054570.421000002</v>
      </c>
      <c r="AL104" s="6"/>
      <c r="AM104" s="138" t="s">
        <v>55</v>
      </c>
      <c r="AN104" s="140">
        <f>+(AK88+AK91+AK92+AK95)/1000</f>
        <v>4416.2785199999998</v>
      </c>
      <c r="AO104" s="6"/>
      <c r="AQ104" s="64"/>
    </row>
    <row r="105" spans="1:43" s="1" customFormat="1" ht="17.100000000000001" customHeight="1" thickTop="1" thickBot="1" x14ac:dyDescent="0.3">
      <c r="A105" s="116" t="s">
        <v>2</v>
      </c>
      <c r="B105" s="113" t="s">
        <v>15</v>
      </c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I105" s="6"/>
      <c r="AJ105" s="136" t="s">
        <v>46</v>
      </c>
      <c r="AK105" s="6">
        <f>+AG99*1000</f>
        <v>15125621.965744995</v>
      </c>
      <c r="AL105" s="6"/>
      <c r="AM105" s="138"/>
      <c r="AN105" s="141">
        <f t="shared" ref="AN105" si="556">SUM(AN98:AN104)</f>
        <v>56024.101770411187</v>
      </c>
      <c r="AO105" s="6"/>
      <c r="AQ105" s="64"/>
    </row>
    <row r="106" spans="1:43" s="1" customFormat="1" ht="17.25" customHeight="1" thickTop="1" x14ac:dyDescent="0.25">
      <c r="A106" s="116" t="s">
        <v>47</v>
      </c>
      <c r="B106" s="113" t="s">
        <v>15</v>
      </c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I106" s="6"/>
      <c r="AJ106" s="137" t="s">
        <v>21</v>
      </c>
      <c r="AK106" s="64">
        <f>+AH35-AK111</f>
        <v>191813.36</v>
      </c>
      <c r="AL106" s="6"/>
      <c r="AM106" s="138" t="s">
        <v>54</v>
      </c>
      <c r="AN106" s="142">
        <f>+AG72</f>
        <v>10009.147869099999</v>
      </c>
      <c r="AO106" s="6"/>
      <c r="AP106" s="146">
        <f>+AN106-AN98</f>
        <v>1191.5965537906177</v>
      </c>
      <c r="AQ106" s="64"/>
    </row>
    <row r="107" spans="1:43" s="64" customFormat="1" ht="19.5" customHeight="1" x14ac:dyDescent="0.25">
      <c r="A107" s="117"/>
      <c r="B107" s="117" t="s">
        <v>17</v>
      </c>
      <c r="C107" s="117">
        <f>+C101+C102+C103+C104+C105+C106</f>
        <v>0</v>
      </c>
      <c r="D107" s="117">
        <f>C107+D101+D102+D103+D104+D105+D106</f>
        <v>0</v>
      </c>
      <c r="E107" s="117">
        <f t="shared" ref="E107:AG107" si="557">D107+E101+E102+E103+E104+E105+E106</f>
        <v>0</v>
      </c>
      <c r="F107" s="117">
        <f>E107+F101+F102+F103+F104+F105+F106</f>
        <v>0</v>
      </c>
      <c r="G107" s="117">
        <f>F107+G101+G102+G103+G104+G105+G106</f>
        <v>0</v>
      </c>
      <c r="H107" s="117">
        <f t="shared" si="557"/>
        <v>0</v>
      </c>
      <c r="I107" s="117">
        <f t="shared" si="557"/>
        <v>0</v>
      </c>
      <c r="J107" s="117">
        <f t="shared" si="557"/>
        <v>0</v>
      </c>
      <c r="K107" s="117">
        <f t="shared" si="557"/>
        <v>0</v>
      </c>
      <c r="L107" s="117">
        <f t="shared" si="557"/>
        <v>0</v>
      </c>
      <c r="M107" s="117">
        <f t="shared" si="557"/>
        <v>0</v>
      </c>
      <c r="N107" s="117">
        <f t="shared" si="557"/>
        <v>0</v>
      </c>
      <c r="O107" s="117">
        <f t="shared" si="557"/>
        <v>0</v>
      </c>
      <c r="P107" s="117">
        <f t="shared" si="557"/>
        <v>0</v>
      </c>
      <c r="Q107" s="117">
        <f>P107+Q101+Q102+Q103+Q104+Q105+Q106</f>
        <v>0</v>
      </c>
      <c r="R107" s="117">
        <f t="shared" si="557"/>
        <v>0</v>
      </c>
      <c r="S107" s="117">
        <f t="shared" si="557"/>
        <v>0</v>
      </c>
      <c r="T107" s="117">
        <f t="shared" si="557"/>
        <v>0</v>
      </c>
      <c r="U107" s="117">
        <f t="shared" si="557"/>
        <v>0</v>
      </c>
      <c r="V107" s="117">
        <f t="shared" si="557"/>
        <v>0</v>
      </c>
      <c r="W107" s="117">
        <f t="shared" si="557"/>
        <v>0</v>
      </c>
      <c r="X107" s="117">
        <f t="shared" si="557"/>
        <v>0</v>
      </c>
      <c r="Y107" s="117"/>
      <c r="Z107" s="117"/>
      <c r="AA107" s="117">
        <f>Z108+AA101+AA102+AA103+AA104+AA105+AA106</f>
        <v>0</v>
      </c>
      <c r="AB107" s="117">
        <f t="shared" si="557"/>
        <v>0</v>
      </c>
      <c r="AC107" s="117">
        <f t="shared" si="557"/>
        <v>0</v>
      </c>
      <c r="AD107" s="117">
        <f t="shared" si="557"/>
        <v>0</v>
      </c>
      <c r="AE107" s="117">
        <f t="shared" si="557"/>
        <v>0</v>
      </c>
      <c r="AF107" s="117">
        <f t="shared" si="557"/>
        <v>0</v>
      </c>
      <c r="AG107" s="117">
        <f t="shared" si="557"/>
        <v>0</v>
      </c>
      <c r="AI107" s="6"/>
      <c r="AJ107" s="137" t="s">
        <v>19</v>
      </c>
      <c r="AK107" s="64">
        <f>+AH47</f>
        <v>4632864</v>
      </c>
      <c r="AL107" s="6"/>
      <c r="AM107" s="138" t="s">
        <v>30</v>
      </c>
      <c r="AN107" s="143">
        <f>+AG76</f>
        <v>45361.273343419998</v>
      </c>
      <c r="AO107" s="6"/>
      <c r="AP107" s="146">
        <f t="shared" ref="AP107:AP112" si="558">+AN107-AN99</f>
        <v>8651.2067243181955</v>
      </c>
    </row>
    <row r="108" spans="1:43" s="64" customFormat="1" ht="19.5" customHeight="1" x14ac:dyDescent="0.25">
      <c r="AJ108" s="137" t="s">
        <v>31</v>
      </c>
      <c r="AK108" s="64">
        <f>+AH51</f>
        <v>651580</v>
      </c>
      <c r="AM108" s="138" t="s">
        <v>29</v>
      </c>
      <c r="AN108" s="143">
        <f>+AG84</f>
        <v>4632.8639999999996</v>
      </c>
      <c r="AP108" s="146">
        <f t="shared" si="558"/>
        <v>418.57199999999921</v>
      </c>
    </row>
    <row r="109" spans="1:43" s="64" customFormat="1" ht="19.5" customHeight="1" x14ac:dyDescent="0.25">
      <c r="AJ109" s="137" t="s">
        <v>18</v>
      </c>
      <c r="AK109" s="64">
        <f>+AH27</f>
        <v>573690.16999999993</v>
      </c>
      <c r="AM109" s="138" t="s">
        <v>62</v>
      </c>
      <c r="AN109" s="143">
        <f>+AG35</f>
        <v>191.81335999999999</v>
      </c>
      <c r="AP109" s="146">
        <f t="shared" si="558"/>
        <v>47.691543999999993</v>
      </c>
    </row>
    <row r="110" spans="1:43" s="64" customFormat="1" ht="19.5" customHeight="1" x14ac:dyDescent="0.25">
      <c r="AJ110" s="137" t="s">
        <v>28</v>
      </c>
      <c r="AK110" s="64">
        <f>+AH39</f>
        <v>924690</v>
      </c>
      <c r="AM110" s="138" t="s">
        <v>36</v>
      </c>
      <c r="AN110" s="143">
        <f>+AG80</f>
        <v>651.58000000000004</v>
      </c>
      <c r="AP110" s="146">
        <f t="shared" si="558"/>
        <v>29.800000000000068</v>
      </c>
    </row>
    <row r="111" spans="1:43" s="64" customFormat="1" ht="19.5" customHeight="1" x14ac:dyDescent="0.25">
      <c r="AJ111" s="137" t="s">
        <v>49</v>
      </c>
      <c r="AK111" s="64">
        <v>0</v>
      </c>
      <c r="AM111" s="138" t="s">
        <v>34</v>
      </c>
      <c r="AN111" s="143">
        <f>+AG31</f>
        <v>1100.0115000000001</v>
      </c>
      <c r="AP111" s="146">
        <f t="shared" si="558"/>
        <v>0</v>
      </c>
    </row>
    <row r="112" spans="1:43" s="64" customFormat="1" ht="19.5" customHeight="1" thickBot="1" x14ac:dyDescent="0.3">
      <c r="AJ112" s="137" t="s">
        <v>26</v>
      </c>
      <c r="AK112" s="64">
        <f>+AH31</f>
        <v>1100011.5</v>
      </c>
      <c r="AM112" s="138" t="s">
        <v>55</v>
      </c>
      <c r="AN112" s="143">
        <f>+AG39+AG27+AG55+AN115+AG43</f>
        <v>4738.6256899999998</v>
      </c>
      <c r="AP112" s="146">
        <f t="shared" si="558"/>
        <v>322.34717000000001</v>
      </c>
    </row>
    <row r="113" spans="1:42" s="64" customFormat="1" ht="19.5" customHeight="1" thickTop="1" thickBot="1" x14ac:dyDescent="0.3">
      <c r="I113" s="147"/>
      <c r="AN113" s="144">
        <f t="shared" ref="AN113" si="559">SUM(AN106:AN112)</f>
        <v>66685.315762519996</v>
      </c>
      <c r="AP113" s="171">
        <f>+AN113/AN105</f>
        <v>1.1902969196328903</v>
      </c>
    </row>
    <row r="114" spans="1:42" s="64" customFormat="1" ht="19.5" customHeight="1" thickTop="1" x14ac:dyDescent="0.25"/>
    <row r="115" spans="1:42" s="64" customFormat="1" ht="21.75" customHeight="1" x14ac:dyDescent="0.25">
      <c r="AM115" s="138" t="s">
        <v>69</v>
      </c>
      <c r="AN115" s="64">
        <f>SUM(C106:AG106)</f>
        <v>0</v>
      </c>
    </row>
    <row r="116" spans="1:42" s="64" customFormat="1" ht="16.5" customHeight="1" x14ac:dyDescent="0.25"/>
    <row r="117" spans="1:42" s="64" customFormat="1" ht="16.5" customHeight="1" x14ac:dyDescent="0.25"/>
    <row r="118" spans="1:42" s="64" customFormat="1" ht="16.5" customHeight="1" x14ac:dyDescent="0.25">
      <c r="A118" s="101"/>
      <c r="B118" s="63"/>
    </row>
    <row r="119" spans="1:42" s="64" customFormat="1" ht="16.5" customHeight="1" x14ac:dyDescent="0.25">
      <c r="A119" s="101"/>
      <c r="B119" s="63"/>
    </row>
    <row r="120" spans="1:42" s="64" customFormat="1" ht="16.5" customHeight="1" x14ac:dyDescent="0.25">
      <c r="A120" s="101"/>
      <c r="B120" s="63"/>
    </row>
    <row r="121" spans="1:42" s="64" customFormat="1" ht="16.5" customHeight="1" x14ac:dyDescent="0.25">
      <c r="A121" s="101"/>
      <c r="B121" s="63"/>
      <c r="S121" s="64" t="s">
        <v>1</v>
      </c>
      <c r="T121" s="64" t="s">
        <v>1</v>
      </c>
      <c r="U121" s="64" t="s">
        <v>1</v>
      </c>
    </row>
    <row r="122" spans="1:42" s="64" customFormat="1" ht="16.5" customHeight="1" x14ac:dyDescent="0.25">
      <c r="A122" s="101"/>
      <c r="B122" s="63"/>
    </row>
    <row r="123" spans="1:42" s="64" customFormat="1" ht="16.5" customHeight="1" x14ac:dyDescent="0.25">
      <c r="A123" s="101"/>
      <c r="B123" s="63"/>
    </row>
    <row r="124" spans="1:42" s="64" customFormat="1" ht="16.5" customHeight="1" x14ac:dyDescent="0.25">
      <c r="A124" s="101"/>
      <c r="B124" s="63"/>
    </row>
    <row r="125" spans="1:42" s="64" customFormat="1" ht="16.5" customHeight="1" x14ac:dyDescent="0.25">
      <c r="A125" s="101"/>
      <c r="B125" s="63"/>
    </row>
    <row r="126" spans="1:42" s="64" customFormat="1" ht="16.5" customHeight="1" x14ac:dyDescent="0.25">
      <c r="A126" s="101"/>
      <c r="B126" s="63"/>
    </row>
    <row r="127" spans="1:42" s="64" customFormat="1" ht="16.5" customHeight="1" x14ac:dyDescent="0.25">
      <c r="A127" s="101"/>
      <c r="B127" s="63"/>
    </row>
    <row r="128" spans="1:42" s="64" customFormat="1" ht="16.5" customHeight="1" x14ac:dyDescent="0.25">
      <c r="A128" s="101"/>
      <c r="B128" s="63"/>
    </row>
    <row r="129" spans="1:2" s="64" customFormat="1" ht="16.5" customHeight="1" x14ac:dyDescent="0.25">
      <c r="A129" s="101"/>
      <c r="B129" s="63"/>
    </row>
    <row r="130" spans="1:2" s="64" customFormat="1" ht="16.5" customHeight="1" x14ac:dyDescent="0.25">
      <c r="A130" s="101"/>
      <c r="B130" s="63"/>
    </row>
    <row r="131" spans="1:2" s="64" customFormat="1" ht="16.5" customHeight="1" x14ac:dyDescent="0.25">
      <c r="A131" s="101"/>
      <c r="B131" s="63"/>
    </row>
    <row r="132" spans="1:2" s="64" customFormat="1" ht="16.5" customHeight="1" x14ac:dyDescent="0.25">
      <c r="A132" s="101"/>
      <c r="B132" s="63"/>
    </row>
    <row r="133" spans="1:2" s="64" customFormat="1" ht="16.5" customHeight="1" x14ac:dyDescent="0.25">
      <c r="A133" s="101"/>
      <c r="B133" s="63"/>
    </row>
    <row r="134" spans="1:2" s="64" customFormat="1" ht="16.5" customHeight="1" x14ac:dyDescent="0.25">
      <c r="A134" s="101"/>
      <c r="B134" s="63"/>
    </row>
    <row r="135" spans="1:2" s="64" customFormat="1" ht="16.5" customHeight="1" x14ac:dyDescent="0.25">
      <c r="A135" s="101"/>
      <c r="B135" s="63"/>
    </row>
    <row r="136" spans="1:2" s="64" customFormat="1" ht="16.5" customHeight="1" x14ac:dyDescent="0.25">
      <c r="A136" s="101"/>
      <c r="B136" s="63"/>
    </row>
    <row r="137" spans="1:2" s="64" customFormat="1" ht="16.5" customHeight="1" x14ac:dyDescent="0.25">
      <c r="A137" s="101"/>
      <c r="B137" s="63"/>
    </row>
    <row r="138" spans="1:2" s="64" customFormat="1" ht="16.5" customHeight="1" x14ac:dyDescent="0.25">
      <c r="A138" s="101"/>
      <c r="B138" s="63"/>
    </row>
    <row r="139" spans="1:2" s="64" customFormat="1" ht="16.5" customHeight="1" x14ac:dyDescent="0.25">
      <c r="A139" s="101"/>
      <c r="B139" s="63"/>
    </row>
    <row r="140" spans="1:2" s="64" customFormat="1" ht="16.5" customHeight="1" x14ac:dyDescent="0.25">
      <c r="A140" s="101"/>
      <c r="B140" s="63"/>
    </row>
    <row r="141" spans="1:2" s="64" customFormat="1" ht="16.5" customHeight="1" x14ac:dyDescent="0.25">
      <c r="A141" s="101"/>
      <c r="B141" s="63"/>
    </row>
    <row r="142" spans="1:2" s="64" customFormat="1" ht="16.5" customHeight="1" x14ac:dyDescent="0.25">
      <c r="A142" s="101"/>
      <c r="B142" s="63"/>
    </row>
    <row r="143" spans="1:2" s="64" customFormat="1" ht="16.5" customHeight="1" x14ac:dyDescent="0.25">
      <c r="A143" s="101"/>
      <c r="B143" s="63"/>
    </row>
    <row r="144" spans="1:2" s="64" customFormat="1" ht="16.5" customHeight="1" x14ac:dyDescent="0.25">
      <c r="A144" s="101"/>
      <c r="B144" s="63"/>
    </row>
    <row r="145" spans="1:26" s="64" customFormat="1" ht="16.5" customHeight="1" x14ac:dyDescent="0.25">
      <c r="A145" s="101"/>
      <c r="B145" s="63"/>
    </row>
    <row r="146" spans="1:26" s="64" customFormat="1" ht="16.5" customHeight="1" x14ac:dyDescent="0.25">
      <c r="A146" s="101"/>
      <c r="B146" s="63"/>
    </row>
    <row r="147" spans="1:26" s="64" customFormat="1" ht="16.5" customHeight="1" x14ac:dyDescent="0.25">
      <c r="A147" s="101"/>
      <c r="B147" s="63"/>
    </row>
    <row r="148" spans="1:26" s="64" customFormat="1" ht="16.5" customHeight="1" x14ac:dyDescent="0.25">
      <c r="A148" s="101"/>
      <c r="B148" s="63"/>
    </row>
    <row r="149" spans="1:26" ht="16.5" customHeight="1" x14ac:dyDescent="0.25">
      <c r="Z149" s="64"/>
    </row>
  </sheetData>
  <customSheetViews>
    <customSheetView guid="{07BCEF14-CC63-4612-944A-AC0185AB2E88}" scale="75" showPageBreaks="1" fitToPage="1" printArea="1" hiddenRows="1">
      <pane xSplit="3" ySplit="7" topLeftCell="W25" activePane="bottomRight" state="frozenSplit"/>
      <selection pane="bottomRight" activeCell="AG42" sqref="AG42"/>
      <pageMargins left="0" right="0" top="0" bottom="0" header="0" footer="0"/>
      <pageSetup paperSize="9" scale="39" orientation="landscape" r:id="rId1"/>
    </customSheetView>
    <customSheetView guid="{66AFB582-7B54-468D-8A7C-50BF887A773A}" scale="70" showPageBreaks="1" printArea="1" hiddenColumns="1">
      <pane xSplit="2" ySplit="17" topLeftCell="C18" activePane="bottomRight" state="frozen"/>
      <selection pane="bottomRight" activeCell="C23" sqref="C23"/>
      <pageMargins left="0" right="0" top="0" bottom="0" header="0" footer="0"/>
      <pageSetup paperSize="8" scale="56" orientation="landscape" r:id="rId2"/>
    </customSheetView>
    <customSheetView guid="{D1F74CB4-7825-4582-901A-8EDF4E0982B1}" scale="75" showPageBreaks="1" fitToPage="1">
      <pane xSplit="3" ySplit="7" topLeftCell="D68" activePane="bottomRight" state="frozenSplit"/>
      <selection pane="bottomRight" activeCell="G80" sqref="G80"/>
      <pageMargins left="0" right="0" top="0" bottom="0" header="0" footer="0"/>
      <pageSetup paperSize="9" scale="10" orientation="landscape" r:id="rId3"/>
    </customSheetView>
    <customSheetView guid="{48BA4D48-0183-4ACA-AFD3-2C9046683193}" scale="75" showPageBreaks="1" fitToPage="1" printArea="1" hiddenRows="1">
      <pane xSplit="3" ySplit="7" topLeftCell="D31" activePane="bottomRight" state="frozenSplit"/>
      <selection pane="bottomRight" activeCell="H46" sqref="H46"/>
      <pageMargins left="0" right="0" top="0" bottom="0" header="0" footer="0"/>
      <pageSetup paperSize="9" scale="39" orientation="landscape" r:id="rId4"/>
    </customSheetView>
  </customSheetViews>
  <mergeCells count="6">
    <mergeCell ref="A68:B68"/>
    <mergeCell ref="A57:A62"/>
    <mergeCell ref="AJ82:AK82"/>
    <mergeCell ref="A63:B63"/>
    <mergeCell ref="C6:AD6"/>
    <mergeCell ref="A7:B7"/>
  </mergeCells>
  <phoneticPr fontId="84" type="noConversion"/>
  <conditionalFormatting sqref="C7:AG7">
    <cfRule type="expression" dxfId="1" priority="3">
      <formula>WEEKDAY(C7, 2)&gt;5</formula>
    </cfRule>
  </conditionalFormatting>
  <conditionalFormatting sqref="C90:AG90">
    <cfRule type="expression" dxfId="0" priority="1">
      <formula>WEEKDAY(C90, 2)&gt;5</formula>
    </cfRule>
  </conditionalFormatting>
  <pageMargins left="0" right="0" top="0" bottom="0" header="0.3" footer="0.3"/>
  <pageSetup paperSize="9" scale="21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54"/>
  <sheetViews>
    <sheetView topLeftCell="A12" zoomScale="80" zoomScaleNormal="80" workbookViewId="0">
      <selection activeCell="W41" sqref="W41"/>
    </sheetView>
  </sheetViews>
  <sheetFormatPr defaultColWidth="9.3984375" defaultRowHeight="13.8" x14ac:dyDescent="0.25"/>
  <cols>
    <col min="1" max="18" width="9.3984375" style="19"/>
    <col min="19" max="19" width="9.3984375" style="19" bestFit="1" customWidth="1"/>
    <col min="20" max="20" width="10.3984375" style="19" bestFit="1" customWidth="1"/>
    <col min="21" max="21" width="12.3984375" style="19" customWidth="1"/>
    <col min="22" max="16384" width="9.3984375" style="19"/>
  </cols>
  <sheetData>
    <row r="1" spans="1:21" ht="14.4" thickTop="1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 x14ac:dyDescent="0.25">
      <c r="A2" s="20"/>
      <c r="U2" s="21"/>
    </row>
    <row r="3" spans="1:21" ht="14.4" customHeight="1" x14ac:dyDescent="0.25">
      <c r="A3" s="20"/>
      <c r="O3" s="198">
        <f>+Data!A1</f>
        <v>46082</v>
      </c>
      <c r="P3" s="198"/>
      <c r="Q3" s="198"/>
      <c r="U3" s="21"/>
    </row>
    <row r="4" spans="1:21" ht="14.4" customHeight="1" x14ac:dyDescent="0.25">
      <c r="A4" s="20"/>
      <c r="O4" s="198"/>
      <c r="P4" s="198"/>
      <c r="Q4" s="198"/>
      <c r="U4" s="21"/>
    </row>
    <row r="5" spans="1:21" ht="14.4" customHeight="1" x14ac:dyDescent="0.25">
      <c r="A5" s="20"/>
      <c r="O5" s="198"/>
      <c r="P5" s="198"/>
      <c r="Q5" s="198"/>
      <c r="U5" s="21"/>
    </row>
    <row r="6" spans="1:21" x14ac:dyDescent="0.25">
      <c r="A6" s="20"/>
      <c r="U6" s="21"/>
    </row>
    <row r="7" spans="1:21" x14ac:dyDescent="0.25">
      <c r="A7" s="20"/>
      <c r="U7" s="21"/>
    </row>
    <row r="8" spans="1:21" x14ac:dyDescent="0.25">
      <c r="A8" s="20"/>
      <c r="U8" s="21"/>
    </row>
    <row r="9" spans="1:21" x14ac:dyDescent="0.25">
      <c r="A9" s="20"/>
      <c r="U9" s="21"/>
    </row>
    <row r="10" spans="1:21" x14ac:dyDescent="0.25">
      <c r="A10" s="20"/>
      <c r="U10" s="21"/>
    </row>
    <row r="11" spans="1:21" x14ac:dyDescent="0.25">
      <c r="A11" s="20"/>
      <c r="U11" s="21"/>
    </row>
    <row r="12" spans="1:21" x14ac:dyDescent="0.25">
      <c r="A12" s="20"/>
      <c r="U12" s="21"/>
    </row>
    <row r="13" spans="1:21" x14ac:dyDescent="0.25">
      <c r="A13" s="20"/>
      <c r="U13" s="21"/>
    </row>
    <row r="14" spans="1:21" x14ac:dyDescent="0.25">
      <c r="A14" s="20"/>
      <c r="U14" s="21"/>
    </row>
    <row r="15" spans="1:21" x14ac:dyDescent="0.25">
      <c r="A15" s="20"/>
      <c r="U15" s="21"/>
    </row>
    <row r="16" spans="1:21" x14ac:dyDescent="0.25">
      <c r="A16" s="20"/>
      <c r="U16" s="21"/>
    </row>
    <row r="17" spans="1:21" x14ac:dyDescent="0.25">
      <c r="A17" s="20"/>
      <c r="U17" s="21"/>
    </row>
    <row r="18" spans="1:21" x14ac:dyDescent="0.25">
      <c r="A18" s="20"/>
      <c r="U18" s="21"/>
    </row>
    <row r="19" spans="1:21" x14ac:dyDescent="0.25">
      <c r="A19" s="20"/>
      <c r="U19" s="21"/>
    </row>
    <row r="20" spans="1:21" x14ac:dyDescent="0.25">
      <c r="A20" s="20"/>
      <c r="U20" s="21"/>
    </row>
    <row r="21" spans="1:21" x14ac:dyDescent="0.25">
      <c r="A21" s="20"/>
      <c r="U21" s="21"/>
    </row>
    <row r="22" spans="1:21" x14ac:dyDescent="0.25">
      <c r="A22" s="20"/>
      <c r="U22" s="21"/>
    </row>
    <row r="23" spans="1:21" x14ac:dyDescent="0.25">
      <c r="A23" s="20"/>
      <c r="U23" s="21"/>
    </row>
    <row r="24" spans="1:21" x14ac:dyDescent="0.25">
      <c r="A24" s="20"/>
      <c r="U24" s="21"/>
    </row>
    <row r="25" spans="1:21" x14ac:dyDescent="0.25">
      <c r="A25" s="20"/>
      <c r="U25" s="21"/>
    </row>
    <row r="26" spans="1:21" x14ac:dyDescent="0.25">
      <c r="A26" s="20"/>
      <c r="U26" s="21"/>
    </row>
    <row r="27" spans="1:21" x14ac:dyDescent="0.25">
      <c r="A27" s="20"/>
      <c r="U27" s="21"/>
    </row>
    <row r="28" spans="1:21" x14ac:dyDescent="0.25">
      <c r="A28" s="20"/>
      <c r="U28" s="21"/>
    </row>
    <row r="29" spans="1:21" x14ac:dyDescent="0.25">
      <c r="A29" s="20"/>
      <c r="U29" s="21"/>
    </row>
    <row r="30" spans="1:21" x14ac:dyDescent="0.25">
      <c r="A30" s="20"/>
      <c r="U30" s="21"/>
    </row>
    <row r="31" spans="1:21" x14ac:dyDescent="0.25">
      <c r="A31" s="20"/>
      <c r="U31" s="21"/>
    </row>
    <row r="32" spans="1:21" x14ac:dyDescent="0.25">
      <c r="A32" s="20"/>
      <c r="S32" s="22"/>
      <c r="T32" s="22"/>
      <c r="U32" s="23"/>
    </row>
    <row r="33" spans="1:23" ht="15" x14ac:dyDescent="0.3">
      <c r="A33" s="20"/>
      <c r="U33" s="21"/>
      <c r="W33" s="111" t="s">
        <v>1</v>
      </c>
    </row>
    <row r="34" spans="1:23" x14ac:dyDescent="0.25">
      <c r="A34" s="20"/>
      <c r="U34" s="21"/>
    </row>
    <row r="35" spans="1:23" x14ac:dyDescent="0.25">
      <c r="A35" s="20"/>
      <c r="U35" s="21"/>
    </row>
    <row r="36" spans="1:23" x14ac:dyDescent="0.25">
      <c r="A36" s="20"/>
      <c r="U36" s="21"/>
    </row>
    <row r="37" spans="1:23" x14ac:dyDescent="0.25">
      <c r="A37" s="20"/>
      <c r="U37" s="21"/>
    </row>
    <row r="38" spans="1:23" x14ac:dyDescent="0.25">
      <c r="A38" s="20"/>
      <c r="U38" s="21"/>
    </row>
    <row r="39" spans="1:23" x14ac:dyDescent="0.25">
      <c r="A39" s="20"/>
      <c r="U39" s="21"/>
    </row>
    <row r="40" spans="1:23" x14ac:dyDescent="0.25">
      <c r="A40" s="20"/>
      <c r="U40" s="21"/>
    </row>
    <row r="41" spans="1:23" x14ac:dyDescent="0.25">
      <c r="A41" s="20"/>
      <c r="U41" s="21"/>
    </row>
    <row r="42" spans="1:23" x14ac:dyDescent="0.25">
      <c r="A42" s="20"/>
      <c r="U42" s="21"/>
    </row>
    <row r="43" spans="1:23" x14ac:dyDescent="0.25">
      <c r="A43" s="20"/>
      <c r="U43" s="21"/>
    </row>
    <row r="44" spans="1:23" ht="15.75" customHeight="1" x14ac:dyDescent="0.25">
      <c r="A44" s="20"/>
      <c r="U44" s="21"/>
    </row>
    <row r="45" spans="1:23" ht="15" x14ac:dyDescent="0.25">
      <c r="A45" s="20"/>
      <c r="B45" s="32"/>
      <c r="U45" s="21"/>
    </row>
    <row r="46" spans="1:23" x14ac:dyDescent="0.25">
      <c r="A46" s="20"/>
      <c r="B46" s="33"/>
      <c r="U46" s="21"/>
    </row>
    <row r="47" spans="1:23" x14ac:dyDescent="0.25">
      <c r="A47" s="20"/>
      <c r="U47" s="21"/>
    </row>
    <row r="48" spans="1:23" x14ac:dyDescent="0.25">
      <c r="A48" s="20"/>
      <c r="U48" s="21"/>
    </row>
    <row r="49" spans="1:21" x14ac:dyDescent="0.25">
      <c r="A49" s="20"/>
      <c r="U49" s="21"/>
    </row>
    <row r="50" spans="1:21" x14ac:dyDescent="0.25">
      <c r="A50" s="20"/>
      <c r="U50" s="21"/>
    </row>
    <row r="51" spans="1:21" x14ac:dyDescent="0.25">
      <c r="A51" s="20"/>
      <c r="U51" s="21"/>
    </row>
    <row r="52" spans="1:21" x14ac:dyDescent="0.25">
      <c r="A52" s="20"/>
      <c r="U52" s="21"/>
    </row>
    <row r="53" spans="1:21" ht="14.4" thickBot="1" x14ac:dyDescent="0.3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161"/>
    </row>
    <row r="54" spans="1:21" ht="14.4" thickTop="1" x14ac:dyDescent="0.25">
      <c r="U54" s="17"/>
    </row>
  </sheetData>
  <customSheetViews>
    <customSheetView guid="{07BCEF14-CC63-4612-944A-AC0185AB2E88}" showPageBreaks="1" fitToPage="1" printArea="1">
      <selection activeCell="D1" sqref="D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70" showPageBreaks="1" printArea="1">
      <selection activeCell="H67" sqref="H67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fitToPage="1" topLeftCell="A16">
      <selection activeCell="D1" sqref="D1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O3:Q5"/>
  </mergeCells>
  <printOptions horizontalCentered="1" verticalCentered="1"/>
  <pageMargins left="0.25" right="0.25" top="0.75" bottom="0.75" header="0.3" footer="0.3"/>
  <pageSetup paperSize="8" scale="94" orientation="landscape" r:id="rId4"/>
  <headerFooter>
    <oddFooter>&amp;R&amp;"Tahoma,Regular"&amp;10Production Control  Div.</odd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3"/>
  <sheetViews>
    <sheetView zoomScale="80" zoomScaleNormal="80" workbookViewId="0">
      <selection activeCell="V25" sqref="V25"/>
    </sheetView>
  </sheetViews>
  <sheetFormatPr defaultColWidth="9.3984375" defaultRowHeight="13.8" x14ac:dyDescent="0.25"/>
  <cols>
    <col min="1" max="18" width="9.3984375" style="19"/>
    <col min="19" max="19" width="9.3984375" style="19" bestFit="1" customWidth="1"/>
    <col min="20" max="21" width="10.3984375" style="19" bestFit="1" customWidth="1"/>
    <col min="22" max="16384" width="9.3984375" style="19"/>
  </cols>
  <sheetData>
    <row r="1" spans="1:21" ht="14.4" thickTop="1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 x14ac:dyDescent="0.25">
      <c r="A2" s="20"/>
      <c r="U2" s="21"/>
    </row>
    <row r="3" spans="1:21" x14ac:dyDescent="0.25">
      <c r="A3" s="20"/>
      <c r="U3" s="21"/>
    </row>
    <row r="4" spans="1:21" x14ac:dyDescent="0.25">
      <c r="A4" s="20"/>
      <c r="U4" s="21"/>
    </row>
    <row r="5" spans="1:21" x14ac:dyDescent="0.25">
      <c r="A5" s="20"/>
      <c r="U5" s="21"/>
    </row>
    <row r="6" spans="1:21" x14ac:dyDescent="0.25">
      <c r="A6" s="20"/>
      <c r="U6" s="21"/>
    </row>
    <row r="7" spans="1:21" ht="14.4" customHeight="1" x14ac:dyDescent="0.25">
      <c r="A7" s="20"/>
      <c r="P7" s="199">
        <f>+Data!A1</f>
        <v>46082</v>
      </c>
      <c r="Q7" s="199"/>
      <c r="R7" s="199"/>
      <c r="U7" s="21"/>
    </row>
    <row r="8" spans="1:21" ht="14.4" customHeight="1" x14ac:dyDescent="0.25">
      <c r="A8" s="20"/>
      <c r="P8" s="199"/>
      <c r="Q8" s="199"/>
      <c r="R8" s="199"/>
      <c r="U8" s="21"/>
    </row>
    <row r="9" spans="1:21" x14ac:dyDescent="0.25">
      <c r="A9" s="20"/>
      <c r="U9" s="21"/>
    </row>
    <row r="10" spans="1:21" x14ac:dyDescent="0.25">
      <c r="A10" s="20"/>
      <c r="U10" s="21"/>
    </row>
    <row r="11" spans="1:21" x14ac:dyDescent="0.25">
      <c r="A11" s="20"/>
      <c r="U11" s="21"/>
    </row>
    <row r="12" spans="1:21" x14ac:dyDescent="0.25">
      <c r="A12" s="20"/>
      <c r="U12" s="21"/>
    </row>
    <row r="13" spans="1:21" x14ac:dyDescent="0.25">
      <c r="A13" s="20"/>
      <c r="U13" s="21"/>
    </row>
    <row r="14" spans="1:21" x14ac:dyDescent="0.25">
      <c r="A14" s="20"/>
      <c r="U14" s="21"/>
    </row>
    <row r="15" spans="1:21" x14ac:dyDescent="0.25">
      <c r="A15" s="20"/>
      <c r="U15" s="21"/>
    </row>
    <row r="16" spans="1:21" x14ac:dyDescent="0.25">
      <c r="A16" s="20"/>
      <c r="U16" s="21"/>
    </row>
    <row r="17" spans="1:21" x14ac:dyDescent="0.25">
      <c r="A17" s="20"/>
      <c r="U17" s="21"/>
    </row>
    <row r="18" spans="1:21" x14ac:dyDescent="0.25">
      <c r="A18" s="20"/>
      <c r="U18" s="21"/>
    </row>
    <row r="19" spans="1:21" x14ac:dyDescent="0.25">
      <c r="A19" s="20"/>
      <c r="U19" s="21"/>
    </row>
    <row r="20" spans="1:21" x14ac:dyDescent="0.25">
      <c r="A20" s="20"/>
      <c r="U20" s="21"/>
    </row>
    <row r="21" spans="1:21" x14ac:dyDescent="0.25">
      <c r="A21" s="20"/>
      <c r="U21" s="21"/>
    </row>
    <row r="22" spans="1:21" x14ac:dyDescent="0.25">
      <c r="A22" s="20"/>
      <c r="U22" s="21"/>
    </row>
    <row r="23" spans="1:21" x14ac:dyDescent="0.25">
      <c r="A23" s="20"/>
      <c r="U23" s="21"/>
    </row>
    <row r="24" spans="1:21" x14ac:dyDescent="0.25">
      <c r="A24" s="20"/>
      <c r="U24" s="21"/>
    </row>
    <row r="25" spans="1:21" x14ac:dyDescent="0.25">
      <c r="A25" s="20"/>
      <c r="U25" s="21"/>
    </row>
    <row r="26" spans="1:21" x14ac:dyDescent="0.25">
      <c r="A26" s="20"/>
      <c r="U26" s="21"/>
    </row>
    <row r="27" spans="1:21" x14ac:dyDescent="0.25">
      <c r="A27" s="20"/>
      <c r="U27" s="21"/>
    </row>
    <row r="28" spans="1:21" x14ac:dyDescent="0.25">
      <c r="A28" s="20"/>
      <c r="U28" s="21"/>
    </row>
    <row r="29" spans="1:21" x14ac:dyDescent="0.25">
      <c r="A29" s="20"/>
      <c r="U29" s="21"/>
    </row>
    <row r="30" spans="1:21" x14ac:dyDescent="0.25">
      <c r="A30" s="20"/>
      <c r="U30" s="21"/>
    </row>
    <row r="31" spans="1:21" x14ac:dyDescent="0.25">
      <c r="A31" s="20"/>
      <c r="U31" s="21"/>
    </row>
    <row r="32" spans="1:21" x14ac:dyDescent="0.25">
      <c r="A32" s="20"/>
      <c r="S32" s="22"/>
      <c r="T32" s="22"/>
      <c r="U32" s="23"/>
    </row>
    <row r="33" spans="1:21" x14ac:dyDescent="0.25">
      <c r="A33" s="20"/>
      <c r="U33" s="21"/>
    </row>
    <row r="34" spans="1:21" x14ac:dyDescent="0.25">
      <c r="A34" s="20"/>
      <c r="U34" s="21"/>
    </row>
    <row r="35" spans="1:21" x14ac:dyDescent="0.25">
      <c r="A35" s="20"/>
      <c r="U35" s="21"/>
    </row>
    <row r="36" spans="1:21" x14ac:dyDescent="0.25">
      <c r="A36" s="20"/>
      <c r="U36" s="21"/>
    </row>
    <row r="37" spans="1:21" x14ac:dyDescent="0.25">
      <c r="A37" s="20"/>
      <c r="U37" s="21"/>
    </row>
    <row r="38" spans="1:21" x14ac:dyDescent="0.25">
      <c r="A38" s="20"/>
      <c r="U38" s="21"/>
    </row>
    <row r="39" spans="1:21" x14ac:dyDescent="0.25">
      <c r="A39" s="20"/>
      <c r="U39" s="21"/>
    </row>
    <row r="40" spans="1:21" x14ac:dyDescent="0.25">
      <c r="A40" s="20"/>
      <c r="U40" s="21"/>
    </row>
    <row r="41" spans="1:21" x14ac:dyDescent="0.25">
      <c r="A41" s="20"/>
      <c r="U41" s="21"/>
    </row>
    <row r="42" spans="1:21" x14ac:dyDescent="0.25">
      <c r="A42" s="20"/>
      <c r="U42" s="21"/>
    </row>
    <row r="43" spans="1:21" x14ac:dyDescent="0.25">
      <c r="A43" s="20"/>
      <c r="U43" s="21"/>
    </row>
    <row r="44" spans="1:21" x14ac:dyDescent="0.25">
      <c r="A44" s="20"/>
      <c r="U44" s="21"/>
    </row>
    <row r="45" spans="1:21" ht="15" x14ac:dyDescent="0.25">
      <c r="A45" s="20"/>
      <c r="B45" s="32"/>
      <c r="U45" s="21"/>
    </row>
    <row r="46" spans="1:21" x14ac:dyDescent="0.25">
      <c r="A46" s="20"/>
      <c r="B46" s="33"/>
      <c r="U46" s="21"/>
    </row>
    <row r="47" spans="1:21" x14ac:dyDescent="0.25">
      <c r="A47" s="20"/>
      <c r="U47" s="21"/>
    </row>
    <row r="48" spans="1:21" x14ac:dyDescent="0.25">
      <c r="A48" s="20"/>
      <c r="U48" s="21"/>
    </row>
    <row r="49" spans="1:21" ht="14.4" thickBot="1" x14ac:dyDescent="0.3">
      <c r="A49" s="20"/>
      <c r="U49" s="21"/>
    </row>
    <row r="50" spans="1:21" ht="14.4" thickBot="1" x14ac:dyDescent="0.3">
      <c r="A50" s="20"/>
      <c r="S50" s="24" t="s">
        <v>50</v>
      </c>
      <c r="T50" s="24" t="s">
        <v>51</v>
      </c>
      <c r="U50" s="25" t="s">
        <v>52</v>
      </c>
    </row>
    <row r="51" spans="1:21" x14ac:dyDescent="0.25">
      <c r="A51" s="20"/>
      <c r="S51" s="26"/>
      <c r="T51" s="26"/>
      <c r="U51" s="27"/>
    </row>
    <row r="52" spans="1:21" ht="14.4" thickBot="1" x14ac:dyDescent="0.3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</row>
    <row r="53" spans="1:21" ht="14.4" thickTop="1" x14ac:dyDescent="0.25"/>
  </sheetData>
  <customSheetViews>
    <customSheetView guid="{07BCEF14-CC63-4612-944A-AC0185AB2E88}" scale="89" showPageBreaks="1" fitToPage="1" printArea="1" topLeftCell="F19">
      <selection activeCell="P2" sqref="P2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70" showPageBreaks="1" printArea="1">
      <selection activeCell="M49" sqref="M49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scale="89" fitToPage="1" topLeftCell="F19">
      <selection activeCell="P2" sqref="P2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7:R8"/>
  </mergeCells>
  <printOptions horizontalCentered="1" verticalCentered="1"/>
  <pageMargins left="0.45" right="0.45" top="0.5" bottom="0.5" header="0.3" footer="0.3"/>
  <pageSetup paperSize="8" scale="99" orientation="landscape" r:id="rId4"/>
  <headerFooter>
    <oddFooter>&amp;R&amp;"Tahoma,Regular"&amp;10Production Control  Div.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3"/>
  <sheetViews>
    <sheetView zoomScale="75" zoomScaleNormal="75" workbookViewId="0">
      <selection activeCell="U35" sqref="U35"/>
    </sheetView>
  </sheetViews>
  <sheetFormatPr defaultColWidth="9.3984375" defaultRowHeight="13.8" x14ac:dyDescent="0.25"/>
  <cols>
    <col min="1" max="18" width="9.3984375" style="19"/>
    <col min="19" max="19" width="9.3984375" style="19" bestFit="1" customWidth="1"/>
    <col min="20" max="21" width="10.3984375" style="19" bestFit="1" customWidth="1"/>
    <col min="22" max="16384" width="9.3984375" style="19"/>
  </cols>
  <sheetData>
    <row r="1" spans="1:21" ht="14.4" thickTop="1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 x14ac:dyDescent="0.25">
      <c r="A2" s="20"/>
      <c r="U2" s="21"/>
    </row>
    <row r="3" spans="1:21" x14ac:dyDescent="0.25">
      <c r="A3" s="20"/>
      <c r="U3" s="21"/>
    </row>
    <row r="4" spans="1:21" ht="14.4" customHeight="1" x14ac:dyDescent="0.25">
      <c r="A4" s="20"/>
      <c r="Q4" s="200">
        <f>+Data!A1</f>
        <v>46082</v>
      </c>
      <c r="R4" s="200"/>
      <c r="S4" s="200"/>
      <c r="U4" s="21"/>
    </row>
    <row r="5" spans="1:21" ht="14.4" customHeight="1" x14ac:dyDescent="0.25">
      <c r="A5" s="20"/>
      <c r="Q5" s="200"/>
      <c r="R5" s="200"/>
      <c r="S5" s="200"/>
      <c r="U5" s="21"/>
    </row>
    <row r="6" spans="1:21" x14ac:dyDescent="0.25">
      <c r="A6" s="20"/>
      <c r="U6" s="21"/>
    </row>
    <row r="7" spans="1:21" x14ac:dyDescent="0.25">
      <c r="A7" s="20"/>
      <c r="U7" s="21"/>
    </row>
    <row r="8" spans="1:21" x14ac:dyDescent="0.25">
      <c r="A8" s="20"/>
      <c r="U8" s="21"/>
    </row>
    <row r="9" spans="1:21" x14ac:dyDescent="0.25">
      <c r="A9" s="20"/>
      <c r="U9" s="21"/>
    </row>
    <row r="10" spans="1:21" x14ac:dyDescent="0.25">
      <c r="A10" s="20"/>
      <c r="U10" s="21"/>
    </row>
    <row r="11" spans="1:21" x14ac:dyDescent="0.25">
      <c r="A11" s="20"/>
      <c r="U11" s="21"/>
    </row>
    <row r="12" spans="1:21" x14ac:dyDescent="0.25">
      <c r="A12" s="20"/>
      <c r="U12" s="21"/>
    </row>
    <row r="13" spans="1:21" x14ac:dyDescent="0.25">
      <c r="A13" s="20"/>
      <c r="U13" s="21"/>
    </row>
    <row r="14" spans="1:21" x14ac:dyDescent="0.25">
      <c r="A14" s="20"/>
      <c r="U14" s="21"/>
    </row>
    <row r="15" spans="1:21" x14ac:dyDescent="0.25">
      <c r="A15" s="20"/>
      <c r="U15" s="21"/>
    </row>
    <row r="16" spans="1:21" x14ac:dyDescent="0.25">
      <c r="A16" s="20"/>
      <c r="U16" s="21"/>
    </row>
    <row r="17" spans="1:21" x14ac:dyDescent="0.25">
      <c r="A17" s="20"/>
      <c r="U17" s="21"/>
    </row>
    <row r="18" spans="1:21" x14ac:dyDescent="0.25">
      <c r="A18" s="20"/>
      <c r="U18" s="21"/>
    </row>
    <row r="19" spans="1:21" x14ac:dyDescent="0.25">
      <c r="A19" s="20"/>
      <c r="U19" s="21"/>
    </row>
    <row r="20" spans="1:21" x14ac:dyDescent="0.25">
      <c r="A20" s="20"/>
      <c r="U20" s="21"/>
    </row>
    <row r="21" spans="1:21" x14ac:dyDescent="0.25">
      <c r="A21" s="20"/>
      <c r="U21" s="21"/>
    </row>
    <row r="22" spans="1:21" x14ac:dyDescent="0.25">
      <c r="A22" s="20"/>
      <c r="U22" s="21"/>
    </row>
    <row r="23" spans="1:21" x14ac:dyDescent="0.25">
      <c r="A23" s="20"/>
      <c r="U23" s="21"/>
    </row>
    <row r="24" spans="1:21" x14ac:dyDescent="0.25">
      <c r="A24" s="20"/>
      <c r="U24" s="21"/>
    </row>
    <row r="25" spans="1:21" x14ac:dyDescent="0.25">
      <c r="A25" s="20"/>
      <c r="U25" s="21"/>
    </row>
    <row r="26" spans="1:21" x14ac:dyDescent="0.25">
      <c r="A26" s="20"/>
      <c r="U26" s="21"/>
    </row>
    <row r="27" spans="1:21" x14ac:dyDescent="0.25">
      <c r="A27" s="20"/>
      <c r="U27" s="21"/>
    </row>
    <row r="28" spans="1:21" x14ac:dyDescent="0.25">
      <c r="A28" s="20"/>
      <c r="U28" s="21"/>
    </row>
    <row r="29" spans="1:21" x14ac:dyDescent="0.25">
      <c r="A29" s="20"/>
      <c r="U29" s="21"/>
    </row>
    <row r="30" spans="1:21" x14ac:dyDescent="0.25">
      <c r="A30" s="20"/>
      <c r="U30" s="21"/>
    </row>
    <row r="31" spans="1:21" x14ac:dyDescent="0.25">
      <c r="A31" s="20"/>
      <c r="U31" s="21"/>
    </row>
    <row r="32" spans="1:21" x14ac:dyDescent="0.25">
      <c r="A32" s="20"/>
      <c r="S32" s="22"/>
      <c r="T32" s="22"/>
      <c r="U32" s="23"/>
    </row>
    <row r="33" spans="1:21" x14ac:dyDescent="0.25">
      <c r="A33" s="20"/>
      <c r="U33" s="21"/>
    </row>
    <row r="34" spans="1:21" x14ac:dyDescent="0.25">
      <c r="A34" s="20"/>
      <c r="U34" s="21"/>
    </row>
    <row r="35" spans="1:21" x14ac:dyDescent="0.25">
      <c r="A35" s="20"/>
      <c r="U35" s="21"/>
    </row>
    <row r="36" spans="1:21" x14ac:dyDescent="0.25">
      <c r="A36" s="20"/>
      <c r="U36" s="21"/>
    </row>
    <row r="37" spans="1:21" x14ac:dyDescent="0.25">
      <c r="A37" s="20"/>
      <c r="U37" s="21"/>
    </row>
    <row r="38" spans="1:21" x14ac:dyDescent="0.25">
      <c r="A38" s="20"/>
      <c r="U38" s="21"/>
    </row>
    <row r="39" spans="1:21" x14ac:dyDescent="0.25">
      <c r="A39" s="20"/>
      <c r="U39" s="21"/>
    </row>
    <row r="40" spans="1:21" x14ac:dyDescent="0.25">
      <c r="A40" s="20"/>
      <c r="U40" s="21"/>
    </row>
    <row r="41" spans="1:21" x14ac:dyDescent="0.25">
      <c r="A41" s="20"/>
      <c r="U41" s="21"/>
    </row>
    <row r="42" spans="1:21" x14ac:dyDescent="0.25">
      <c r="A42" s="20"/>
      <c r="U42" s="21"/>
    </row>
    <row r="43" spans="1:21" x14ac:dyDescent="0.25">
      <c r="A43" s="20"/>
      <c r="U43" s="21"/>
    </row>
    <row r="44" spans="1:21" x14ac:dyDescent="0.25">
      <c r="A44" s="20"/>
      <c r="U44" s="21"/>
    </row>
    <row r="45" spans="1:21" ht="15" x14ac:dyDescent="0.25">
      <c r="A45" s="20"/>
      <c r="B45" s="32"/>
      <c r="U45" s="21"/>
    </row>
    <row r="46" spans="1:21" x14ac:dyDescent="0.25">
      <c r="A46" s="20"/>
      <c r="B46" s="33"/>
      <c r="U46" s="21"/>
    </row>
    <row r="47" spans="1:21" x14ac:dyDescent="0.25">
      <c r="A47" s="20"/>
      <c r="U47" s="21"/>
    </row>
    <row r="48" spans="1:21" x14ac:dyDescent="0.25">
      <c r="A48" s="20"/>
      <c r="U48" s="21"/>
    </row>
    <row r="49" spans="1:21" ht="14.4" thickBot="1" x14ac:dyDescent="0.3">
      <c r="A49" s="20"/>
      <c r="U49" s="21"/>
    </row>
    <row r="50" spans="1:21" ht="14.4" thickBot="1" x14ac:dyDescent="0.3">
      <c r="A50" s="20"/>
      <c r="S50" s="24" t="s">
        <v>50</v>
      </c>
      <c r="T50" s="24" t="s">
        <v>51</v>
      </c>
      <c r="U50" s="25" t="s">
        <v>52</v>
      </c>
    </row>
    <row r="51" spans="1:21" x14ac:dyDescent="0.25">
      <c r="A51" s="20"/>
      <c r="S51" s="26"/>
      <c r="T51" s="26"/>
      <c r="U51" s="27"/>
    </row>
    <row r="52" spans="1:21" ht="14.4" thickBot="1" x14ac:dyDescent="0.3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</row>
    <row r="53" spans="1:21" ht="14.4" thickTop="1" x14ac:dyDescent="0.25"/>
  </sheetData>
  <customSheetViews>
    <customSheetView guid="{07BCEF14-CC63-4612-944A-AC0185AB2E88}" scale="75" showPageBreaks="1" fitToPage="1" printArea="1" topLeftCell="F19">
      <selection activeCell="X2" sqref="X2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85" showPageBreaks="1" printArea="1" topLeftCell="A4">
      <selection activeCell="V25" sqref="V25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scale="75" fitToPage="1" topLeftCell="F19">
      <selection activeCell="X2" sqref="X2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Q4:S5"/>
  </mergeCells>
  <printOptions horizontalCentered="1" verticalCentered="1"/>
  <pageMargins left="0" right="0" top="0" bottom="0" header="0.3" footer="0.3"/>
  <pageSetup paperSize="8" orientation="landscape" r:id="rId4"/>
  <headerFooter>
    <oddFooter>&amp;R&amp;"Tahoma,Regular"&amp;10Production Control  Div.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4"/>
  <sheetViews>
    <sheetView topLeftCell="A3" zoomScale="84" zoomScaleNormal="84" workbookViewId="0">
      <selection activeCell="X17" sqref="X17"/>
    </sheetView>
  </sheetViews>
  <sheetFormatPr defaultColWidth="9.3984375" defaultRowHeight="13.8" x14ac:dyDescent="0.25"/>
  <cols>
    <col min="1" max="18" width="9.3984375" style="19"/>
    <col min="19" max="19" width="9.3984375" style="19" bestFit="1" customWidth="1"/>
    <col min="20" max="21" width="10.3984375" style="19" bestFit="1" customWidth="1"/>
    <col min="22" max="16384" width="9.3984375" style="19"/>
  </cols>
  <sheetData>
    <row r="1" spans="1:21" ht="14.4" thickTop="1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 x14ac:dyDescent="0.25">
      <c r="A2" s="20"/>
      <c r="U2" s="21"/>
    </row>
    <row r="3" spans="1:21" ht="14.4" customHeight="1" x14ac:dyDescent="0.25">
      <c r="A3" s="20"/>
      <c r="P3" s="199">
        <f>+Data!A1</f>
        <v>46082</v>
      </c>
      <c r="Q3" s="199"/>
      <c r="R3" s="199"/>
      <c r="U3" s="21"/>
    </row>
    <row r="4" spans="1:21" ht="14.4" customHeight="1" x14ac:dyDescent="0.25">
      <c r="A4" s="20"/>
      <c r="P4" s="199"/>
      <c r="Q4" s="199"/>
      <c r="R4" s="199"/>
      <c r="U4" s="21"/>
    </row>
    <row r="5" spans="1:21" x14ac:dyDescent="0.25">
      <c r="A5" s="20"/>
      <c r="U5" s="21"/>
    </row>
    <row r="6" spans="1:21" x14ac:dyDescent="0.25">
      <c r="A6" s="20"/>
      <c r="U6" s="21"/>
    </row>
    <row r="7" spans="1:21" x14ac:dyDescent="0.25">
      <c r="A7" s="20"/>
      <c r="U7" s="21"/>
    </row>
    <row r="8" spans="1:21" x14ac:dyDescent="0.25">
      <c r="A8" s="20"/>
      <c r="U8" s="21"/>
    </row>
    <row r="9" spans="1:21" x14ac:dyDescent="0.25">
      <c r="A9" s="20"/>
      <c r="U9" s="21"/>
    </row>
    <row r="10" spans="1:21" x14ac:dyDescent="0.25">
      <c r="A10" s="20"/>
      <c r="U10" s="21"/>
    </row>
    <row r="11" spans="1:21" x14ac:dyDescent="0.25">
      <c r="A11" s="20"/>
      <c r="U11" s="21"/>
    </row>
    <row r="12" spans="1:21" x14ac:dyDescent="0.25">
      <c r="A12" s="20"/>
      <c r="U12" s="21"/>
    </row>
    <row r="13" spans="1:21" x14ac:dyDescent="0.25">
      <c r="A13" s="20"/>
      <c r="U13" s="21"/>
    </row>
    <row r="14" spans="1:21" x14ac:dyDescent="0.25">
      <c r="A14" s="20"/>
      <c r="U14" s="21"/>
    </row>
    <row r="15" spans="1:21" x14ac:dyDescent="0.25">
      <c r="A15" s="20"/>
      <c r="U15" s="21"/>
    </row>
    <row r="16" spans="1:21" x14ac:dyDescent="0.25">
      <c r="A16" s="20"/>
      <c r="U16" s="21"/>
    </row>
    <row r="17" spans="1:21" x14ac:dyDescent="0.25">
      <c r="A17" s="20"/>
      <c r="U17" s="21"/>
    </row>
    <row r="18" spans="1:21" x14ac:dyDescent="0.25">
      <c r="A18" s="20"/>
      <c r="U18" s="21"/>
    </row>
    <row r="19" spans="1:21" x14ac:dyDescent="0.25">
      <c r="A19" s="20"/>
      <c r="U19" s="21"/>
    </row>
    <row r="20" spans="1:21" x14ac:dyDescent="0.25">
      <c r="A20" s="20"/>
      <c r="U20" s="21"/>
    </row>
    <row r="21" spans="1:21" x14ac:dyDescent="0.25">
      <c r="A21" s="20"/>
      <c r="U21" s="21"/>
    </row>
    <row r="22" spans="1:21" x14ac:dyDescent="0.25">
      <c r="A22" s="20"/>
      <c r="U22" s="21"/>
    </row>
    <row r="23" spans="1:21" x14ac:dyDescent="0.25">
      <c r="A23" s="20"/>
      <c r="U23" s="21"/>
    </row>
    <row r="24" spans="1:21" x14ac:dyDescent="0.25">
      <c r="A24" s="20"/>
      <c r="U24" s="21"/>
    </row>
    <row r="25" spans="1:21" x14ac:dyDescent="0.25">
      <c r="A25" s="20"/>
      <c r="U25" s="21"/>
    </row>
    <row r="26" spans="1:21" x14ac:dyDescent="0.25">
      <c r="A26" s="20"/>
      <c r="U26" s="21"/>
    </row>
    <row r="27" spans="1:21" x14ac:dyDescent="0.25">
      <c r="A27" s="20"/>
      <c r="U27" s="21"/>
    </row>
    <row r="28" spans="1:21" x14ac:dyDescent="0.25">
      <c r="A28" s="20"/>
      <c r="U28" s="21"/>
    </row>
    <row r="29" spans="1:21" x14ac:dyDescent="0.25">
      <c r="A29" s="20"/>
      <c r="U29" s="21"/>
    </row>
    <row r="30" spans="1:21" x14ac:dyDescent="0.25">
      <c r="A30" s="20"/>
      <c r="U30" s="21"/>
    </row>
    <row r="31" spans="1:21" x14ac:dyDescent="0.25">
      <c r="A31" s="20"/>
      <c r="U31" s="21"/>
    </row>
    <row r="32" spans="1:21" x14ac:dyDescent="0.25">
      <c r="A32" s="20"/>
      <c r="S32" s="22"/>
      <c r="T32" s="22"/>
      <c r="U32" s="23"/>
    </row>
    <row r="33" spans="1:21" x14ac:dyDescent="0.25">
      <c r="A33" s="20"/>
      <c r="U33" s="21"/>
    </row>
    <row r="34" spans="1:21" x14ac:dyDescent="0.25">
      <c r="A34" s="20"/>
      <c r="U34" s="21"/>
    </row>
    <row r="35" spans="1:21" x14ac:dyDescent="0.25">
      <c r="A35" s="20"/>
      <c r="U35" s="21"/>
    </row>
    <row r="36" spans="1:21" x14ac:dyDescent="0.25">
      <c r="A36" s="20"/>
      <c r="U36" s="21"/>
    </row>
    <row r="37" spans="1:21" x14ac:dyDescent="0.25">
      <c r="A37" s="20"/>
      <c r="U37" s="21"/>
    </row>
    <row r="38" spans="1:21" x14ac:dyDescent="0.25">
      <c r="A38" s="20"/>
      <c r="U38" s="21"/>
    </row>
    <row r="39" spans="1:21" x14ac:dyDescent="0.25">
      <c r="A39" s="20"/>
      <c r="U39" s="21"/>
    </row>
    <row r="40" spans="1:21" x14ac:dyDescent="0.25">
      <c r="A40" s="20"/>
      <c r="U40" s="21"/>
    </row>
    <row r="41" spans="1:21" x14ac:dyDescent="0.25">
      <c r="A41" s="20"/>
      <c r="U41" s="21"/>
    </row>
    <row r="42" spans="1:21" x14ac:dyDescent="0.25">
      <c r="A42" s="20"/>
      <c r="U42" s="21"/>
    </row>
    <row r="43" spans="1:21" x14ac:dyDescent="0.25">
      <c r="A43" s="20"/>
      <c r="U43" s="21"/>
    </row>
    <row r="44" spans="1:21" x14ac:dyDescent="0.25">
      <c r="A44" s="20"/>
      <c r="U44" s="21"/>
    </row>
    <row r="45" spans="1:21" ht="15" x14ac:dyDescent="0.25">
      <c r="A45" s="20"/>
      <c r="B45" s="32"/>
      <c r="U45" s="21"/>
    </row>
    <row r="46" spans="1:21" x14ac:dyDescent="0.25">
      <c r="A46" s="20"/>
      <c r="B46" s="33"/>
      <c r="U46" s="21"/>
    </row>
    <row r="47" spans="1:21" x14ac:dyDescent="0.25">
      <c r="A47" s="20"/>
      <c r="U47" s="21"/>
    </row>
    <row r="48" spans="1:21" x14ac:dyDescent="0.25">
      <c r="A48" s="20"/>
      <c r="U48" s="21"/>
    </row>
    <row r="49" spans="1:21" ht="14.4" thickBot="1" x14ac:dyDescent="0.3">
      <c r="A49" s="20"/>
      <c r="U49" s="21"/>
    </row>
    <row r="50" spans="1:21" ht="14.4" thickBot="1" x14ac:dyDescent="0.3">
      <c r="A50" s="20"/>
      <c r="S50" s="24" t="s">
        <v>50</v>
      </c>
      <c r="T50" s="24" t="s">
        <v>51</v>
      </c>
      <c r="U50" s="25" t="s">
        <v>52</v>
      </c>
    </row>
    <row r="51" spans="1:21" x14ac:dyDescent="0.25">
      <c r="A51" s="20"/>
      <c r="S51" s="26"/>
      <c r="T51" s="26"/>
      <c r="U51" s="27"/>
    </row>
    <row r="52" spans="1:21" ht="14.4" thickBot="1" x14ac:dyDescent="0.3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</row>
    <row r="53" spans="1:21" ht="14.4" thickTop="1" x14ac:dyDescent="0.25"/>
    <row r="54" spans="1:21" x14ac:dyDescent="0.25">
      <c r="G54" s="100"/>
    </row>
  </sheetData>
  <customSheetViews>
    <customSheetView guid="{07BCEF14-CC63-4612-944A-AC0185AB2E88}" scale="84" showPageBreaks="1" fitToPage="1" printArea="1" topLeftCell="I7">
      <selection activeCell="H1" sqref="H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55" showPageBreaks="1" printArea="1">
      <selection activeCell="X24" sqref="X24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scale="84" fitToPage="1" topLeftCell="I7">
      <selection activeCell="H1" sqref="H1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7" orientation="landscape" r:id="rId4"/>
  <headerFooter>
    <oddFooter>&amp;R&amp;"Tahoma,Regular"&amp;10Production Control  Div.</oddFooter>
  </headerFoo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4"/>
  <sheetViews>
    <sheetView topLeftCell="A15" zoomScale="84" zoomScaleNormal="84" workbookViewId="0">
      <selection activeCell="X13" sqref="X13"/>
    </sheetView>
  </sheetViews>
  <sheetFormatPr defaultColWidth="9.3984375" defaultRowHeight="13.8" x14ac:dyDescent="0.25"/>
  <cols>
    <col min="1" max="18" width="9.3984375" style="19"/>
    <col min="19" max="19" width="9.3984375" style="19" bestFit="1" customWidth="1"/>
    <col min="20" max="21" width="10.3984375" style="19" bestFit="1" customWidth="1"/>
    <col min="22" max="16384" width="9.3984375" style="19"/>
  </cols>
  <sheetData>
    <row r="1" spans="1:21" ht="14.4" thickTop="1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 x14ac:dyDescent="0.25">
      <c r="A2" s="20"/>
      <c r="U2" s="21"/>
    </row>
    <row r="3" spans="1:21" ht="14.4" customHeight="1" x14ac:dyDescent="0.25">
      <c r="A3" s="20"/>
      <c r="P3" s="199">
        <f>+Data!A1</f>
        <v>46082</v>
      </c>
      <c r="Q3" s="199"/>
      <c r="R3" s="199"/>
      <c r="U3" s="21"/>
    </row>
    <row r="4" spans="1:21" ht="14.4" customHeight="1" x14ac:dyDescent="0.25">
      <c r="A4" s="20"/>
      <c r="P4" s="199"/>
      <c r="Q4" s="199"/>
      <c r="R4" s="199"/>
      <c r="U4" s="21"/>
    </row>
    <row r="5" spans="1:21" ht="14.4" customHeight="1" x14ac:dyDescent="0.25">
      <c r="A5" s="20"/>
      <c r="U5" s="21"/>
    </row>
    <row r="6" spans="1:21" x14ac:dyDescent="0.25">
      <c r="A6" s="20"/>
      <c r="U6" s="21"/>
    </row>
    <row r="7" spans="1:21" x14ac:dyDescent="0.25">
      <c r="A7" s="20"/>
      <c r="U7" s="21"/>
    </row>
    <row r="8" spans="1:21" x14ac:dyDescent="0.25">
      <c r="A8" s="20"/>
      <c r="U8" s="21"/>
    </row>
    <row r="9" spans="1:21" x14ac:dyDescent="0.25">
      <c r="A9" s="20"/>
      <c r="U9" s="21"/>
    </row>
    <row r="10" spans="1:21" x14ac:dyDescent="0.25">
      <c r="A10" s="20"/>
      <c r="U10" s="21"/>
    </row>
    <row r="11" spans="1:21" x14ac:dyDescent="0.25">
      <c r="A11" s="20"/>
      <c r="U11" s="21"/>
    </row>
    <row r="12" spans="1:21" x14ac:dyDescent="0.25">
      <c r="A12" s="20"/>
      <c r="U12" s="21"/>
    </row>
    <row r="13" spans="1:21" x14ac:dyDescent="0.25">
      <c r="A13" s="20"/>
      <c r="U13" s="21"/>
    </row>
    <row r="14" spans="1:21" x14ac:dyDescent="0.25">
      <c r="A14" s="20"/>
      <c r="U14" s="21"/>
    </row>
    <row r="15" spans="1:21" x14ac:dyDescent="0.25">
      <c r="A15" s="20"/>
      <c r="U15" s="21"/>
    </row>
    <row r="16" spans="1:21" x14ac:dyDescent="0.25">
      <c r="A16" s="20"/>
      <c r="U16" s="21"/>
    </row>
    <row r="17" spans="1:21" x14ac:dyDescent="0.25">
      <c r="A17" s="20"/>
      <c r="U17" s="21"/>
    </row>
    <row r="18" spans="1:21" x14ac:dyDescent="0.25">
      <c r="A18" s="20"/>
      <c r="U18" s="21"/>
    </row>
    <row r="19" spans="1:21" x14ac:dyDescent="0.25">
      <c r="A19" s="20"/>
      <c r="U19" s="21"/>
    </row>
    <row r="20" spans="1:21" x14ac:dyDescent="0.25">
      <c r="A20" s="20"/>
      <c r="U20" s="21"/>
    </row>
    <row r="21" spans="1:21" x14ac:dyDescent="0.25">
      <c r="A21" s="20"/>
      <c r="U21" s="21"/>
    </row>
    <row r="22" spans="1:21" x14ac:dyDescent="0.25">
      <c r="A22" s="20"/>
      <c r="U22" s="21"/>
    </row>
    <row r="23" spans="1:21" x14ac:dyDescent="0.25">
      <c r="A23" s="20"/>
      <c r="U23" s="21"/>
    </row>
    <row r="24" spans="1:21" x14ac:dyDescent="0.25">
      <c r="A24" s="20"/>
      <c r="U24" s="21"/>
    </row>
    <row r="25" spans="1:21" x14ac:dyDescent="0.25">
      <c r="A25" s="20"/>
      <c r="U25" s="21"/>
    </row>
    <row r="26" spans="1:21" x14ac:dyDescent="0.25">
      <c r="A26" s="20"/>
      <c r="U26" s="21"/>
    </row>
    <row r="27" spans="1:21" x14ac:dyDescent="0.25">
      <c r="A27" s="20"/>
      <c r="U27" s="21"/>
    </row>
    <row r="28" spans="1:21" x14ac:dyDescent="0.25">
      <c r="A28" s="20"/>
      <c r="U28" s="21"/>
    </row>
    <row r="29" spans="1:21" x14ac:dyDescent="0.25">
      <c r="A29" s="20"/>
      <c r="U29" s="21"/>
    </row>
    <row r="30" spans="1:21" x14ac:dyDescent="0.25">
      <c r="A30" s="20"/>
      <c r="U30" s="21"/>
    </row>
    <row r="31" spans="1:21" x14ac:dyDescent="0.25">
      <c r="A31" s="20"/>
      <c r="U31" s="21"/>
    </row>
    <row r="32" spans="1:21" x14ac:dyDescent="0.25">
      <c r="A32" s="20"/>
      <c r="S32" s="22"/>
      <c r="T32" s="22"/>
      <c r="U32" s="23"/>
    </row>
    <row r="33" spans="1:21" x14ac:dyDescent="0.25">
      <c r="A33" s="20"/>
      <c r="U33" s="21"/>
    </row>
    <row r="34" spans="1:21" x14ac:dyDescent="0.25">
      <c r="A34" s="20"/>
      <c r="U34" s="21"/>
    </row>
    <row r="35" spans="1:21" x14ac:dyDescent="0.25">
      <c r="A35" s="20"/>
      <c r="U35" s="21"/>
    </row>
    <row r="36" spans="1:21" x14ac:dyDescent="0.25">
      <c r="A36" s="20"/>
      <c r="U36" s="21"/>
    </row>
    <row r="37" spans="1:21" x14ac:dyDescent="0.25">
      <c r="A37" s="20"/>
      <c r="U37" s="21"/>
    </row>
    <row r="38" spans="1:21" x14ac:dyDescent="0.25">
      <c r="A38" s="20"/>
      <c r="U38" s="21"/>
    </row>
    <row r="39" spans="1:21" x14ac:dyDescent="0.25">
      <c r="A39" s="20"/>
      <c r="U39" s="21"/>
    </row>
    <row r="40" spans="1:21" x14ac:dyDescent="0.25">
      <c r="A40" s="20"/>
      <c r="U40" s="21"/>
    </row>
    <row r="41" spans="1:21" x14ac:dyDescent="0.25">
      <c r="A41" s="20"/>
      <c r="U41" s="21"/>
    </row>
    <row r="42" spans="1:21" x14ac:dyDescent="0.25">
      <c r="A42" s="20"/>
      <c r="U42" s="21"/>
    </row>
    <row r="43" spans="1:21" x14ac:dyDescent="0.25">
      <c r="A43" s="20"/>
      <c r="U43" s="21"/>
    </row>
    <row r="44" spans="1:21" x14ac:dyDescent="0.25">
      <c r="A44" s="20"/>
      <c r="U44" s="21"/>
    </row>
    <row r="45" spans="1:21" ht="15" x14ac:dyDescent="0.25">
      <c r="A45" s="20"/>
      <c r="B45" s="32"/>
      <c r="U45" s="21"/>
    </row>
    <row r="46" spans="1:21" x14ac:dyDescent="0.25">
      <c r="A46" s="20"/>
      <c r="B46" s="33"/>
      <c r="U46" s="21"/>
    </row>
    <row r="47" spans="1:21" x14ac:dyDescent="0.25">
      <c r="A47" s="20"/>
      <c r="U47" s="21"/>
    </row>
    <row r="48" spans="1:21" x14ac:dyDescent="0.25">
      <c r="A48" s="20"/>
      <c r="U48" s="21"/>
    </row>
    <row r="49" spans="1:21" ht="14.4" thickBot="1" x14ac:dyDescent="0.3">
      <c r="A49" s="20"/>
      <c r="U49" s="21"/>
    </row>
    <row r="50" spans="1:21" ht="14.4" thickBot="1" x14ac:dyDescent="0.3">
      <c r="A50" s="20"/>
      <c r="S50" s="24" t="s">
        <v>50</v>
      </c>
      <c r="T50" s="24" t="s">
        <v>51</v>
      </c>
      <c r="U50" s="25" t="s">
        <v>52</v>
      </c>
    </row>
    <row r="51" spans="1:21" x14ac:dyDescent="0.25">
      <c r="A51" s="20"/>
      <c r="S51" s="26"/>
      <c r="T51" s="26"/>
      <c r="U51" s="27"/>
    </row>
    <row r="52" spans="1:21" ht="14.4" thickBot="1" x14ac:dyDescent="0.3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T52" s="30"/>
      <c r="U52" s="31"/>
    </row>
    <row r="53" spans="1:21" ht="14.4" thickTop="1" x14ac:dyDescent="0.25"/>
    <row r="54" spans="1:21" x14ac:dyDescent="0.25">
      <c r="G54" s="100"/>
    </row>
  </sheetData>
  <customSheetViews>
    <customSheetView guid="{07BCEF14-CC63-4612-944A-AC0185AB2E88}" scale="84" showPageBreaks="1" fitToPage="1" printArea="1" topLeftCell="A19">
      <selection activeCell="T1" sqref="T1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D1F74CB4-7825-4582-901A-8EDF4E0982B1}" scale="84" fitToPage="1" topLeftCell="A19">
      <selection activeCell="T1" sqref="T1"/>
      <pageMargins left="0" right="0" top="0" bottom="0" header="0" footer="0"/>
      <printOptions horizontalCentered="1" verticalCentered="1"/>
      <pageSetup paperSize="8" orientation="landscape" r:id="rId2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7" orientation="landscape" r:id="rId3"/>
  <headerFooter>
    <oddFooter>&amp;R&amp;"Tahoma,Regular"&amp;10Production Control  Div.</oddFooter>
  </headerFoo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zoomScaleNormal="100" workbookViewId="0">
      <selection activeCell="V8" sqref="V8"/>
    </sheetView>
  </sheetViews>
  <sheetFormatPr defaultColWidth="9.3984375" defaultRowHeight="13.8" x14ac:dyDescent="0.25"/>
  <cols>
    <col min="1" max="18" width="9.3984375" style="19"/>
    <col min="19" max="19" width="9.3984375" style="19" bestFit="1" customWidth="1"/>
    <col min="20" max="21" width="10.3984375" style="19" bestFit="1" customWidth="1"/>
    <col min="22" max="16384" width="9.3984375" style="19"/>
  </cols>
  <sheetData>
    <row r="1" spans="1:21" ht="14.4" thickTop="1" x14ac:dyDescent="0.2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 x14ac:dyDescent="0.25">
      <c r="A2" s="20"/>
      <c r="U2" s="21"/>
    </row>
    <row r="3" spans="1:21" ht="14.4" customHeight="1" x14ac:dyDescent="0.25">
      <c r="A3" s="20"/>
      <c r="P3" s="199">
        <f>+Data!A1</f>
        <v>46082</v>
      </c>
      <c r="Q3" s="199"/>
      <c r="R3" s="199"/>
      <c r="U3" s="21"/>
    </row>
    <row r="4" spans="1:21" ht="14.4" customHeight="1" x14ac:dyDescent="0.25">
      <c r="A4" s="20"/>
      <c r="P4" s="199"/>
      <c r="Q4" s="199"/>
      <c r="R4" s="199"/>
      <c r="U4" s="21"/>
    </row>
    <row r="5" spans="1:21" ht="14.4" customHeight="1" x14ac:dyDescent="0.25">
      <c r="A5" s="20"/>
      <c r="U5" s="21"/>
    </row>
    <row r="6" spans="1:21" x14ac:dyDescent="0.25">
      <c r="A6" s="20"/>
      <c r="U6" s="21"/>
    </row>
    <row r="7" spans="1:21" x14ac:dyDescent="0.25">
      <c r="A7" s="20"/>
      <c r="U7" s="21"/>
    </row>
    <row r="8" spans="1:21" x14ac:dyDescent="0.25">
      <c r="A8" s="20"/>
      <c r="U8" s="21"/>
    </row>
    <row r="9" spans="1:21" x14ac:dyDescent="0.25">
      <c r="A9" s="20"/>
      <c r="U9" s="21"/>
    </row>
    <row r="10" spans="1:21" x14ac:dyDescent="0.25">
      <c r="A10" s="20"/>
      <c r="U10" s="21"/>
    </row>
    <row r="11" spans="1:21" x14ac:dyDescent="0.25">
      <c r="A11" s="20"/>
      <c r="U11" s="21"/>
    </row>
    <row r="12" spans="1:21" x14ac:dyDescent="0.25">
      <c r="A12" s="20"/>
      <c r="U12" s="21"/>
    </row>
    <row r="13" spans="1:21" x14ac:dyDescent="0.25">
      <c r="A13" s="20"/>
      <c r="U13" s="21"/>
    </row>
    <row r="14" spans="1:21" x14ac:dyDescent="0.25">
      <c r="A14" s="20"/>
      <c r="U14" s="21"/>
    </row>
    <row r="15" spans="1:21" x14ac:dyDescent="0.25">
      <c r="A15" s="20"/>
      <c r="U15" s="21"/>
    </row>
    <row r="16" spans="1:21" x14ac:dyDescent="0.25">
      <c r="A16" s="20"/>
      <c r="U16" s="21"/>
    </row>
    <row r="17" spans="1:21" x14ac:dyDescent="0.25">
      <c r="A17" s="20"/>
      <c r="U17" s="21"/>
    </row>
    <row r="18" spans="1:21" x14ac:dyDescent="0.25">
      <c r="A18" s="20"/>
      <c r="U18" s="21"/>
    </row>
    <row r="19" spans="1:21" x14ac:dyDescent="0.25">
      <c r="A19" s="20"/>
      <c r="U19" s="21"/>
    </row>
    <row r="20" spans="1:21" x14ac:dyDescent="0.25">
      <c r="A20" s="20"/>
      <c r="U20" s="21"/>
    </row>
    <row r="21" spans="1:21" x14ac:dyDescent="0.25">
      <c r="A21" s="20"/>
      <c r="U21" s="21"/>
    </row>
    <row r="22" spans="1:21" x14ac:dyDescent="0.25">
      <c r="A22" s="20"/>
      <c r="U22" s="21"/>
    </row>
    <row r="23" spans="1:21" x14ac:dyDescent="0.25">
      <c r="A23" s="20"/>
      <c r="U23" s="21"/>
    </row>
    <row r="24" spans="1:21" x14ac:dyDescent="0.25">
      <c r="A24" s="20"/>
      <c r="U24" s="21"/>
    </row>
    <row r="25" spans="1:21" x14ac:dyDescent="0.25">
      <c r="A25" s="20"/>
      <c r="U25" s="21"/>
    </row>
    <row r="26" spans="1:21" x14ac:dyDescent="0.25">
      <c r="A26" s="20"/>
      <c r="U26" s="21"/>
    </row>
    <row r="27" spans="1:21" x14ac:dyDescent="0.25">
      <c r="A27" s="20"/>
      <c r="U27" s="21"/>
    </row>
    <row r="28" spans="1:21" x14ac:dyDescent="0.25">
      <c r="A28" s="20"/>
      <c r="U28" s="21"/>
    </row>
    <row r="29" spans="1:21" x14ac:dyDescent="0.25">
      <c r="A29" s="20"/>
      <c r="U29" s="21"/>
    </row>
    <row r="30" spans="1:21" x14ac:dyDescent="0.25">
      <c r="A30" s="20"/>
      <c r="U30" s="21"/>
    </row>
    <row r="31" spans="1:21" x14ac:dyDescent="0.25">
      <c r="A31" s="20"/>
      <c r="U31" s="21"/>
    </row>
    <row r="32" spans="1:21" x14ac:dyDescent="0.25">
      <c r="A32" s="20"/>
      <c r="S32" s="22"/>
      <c r="T32" s="22"/>
      <c r="U32" s="23"/>
    </row>
    <row r="33" spans="1:21" x14ac:dyDescent="0.25">
      <c r="A33" s="20"/>
      <c r="U33" s="21"/>
    </row>
    <row r="34" spans="1:21" x14ac:dyDescent="0.25">
      <c r="A34" s="20"/>
      <c r="U34" s="21"/>
    </row>
    <row r="35" spans="1:21" x14ac:dyDescent="0.25">
      <c r="A35" s="20"/>
      <c r="U35" s="21"/>
    </row>
    <row r="36" spans="1:21" x14ac:dyDescent="0.25">
      <c r="A36" s="20"/>
      <c r="U36" s="21"/>
    </row>
    <row r="37" spans="1:21" x14ac:dyDescent="0.25">
      <c r="A37" s="20"/>
      <c r="U37" s="21"/>
    </row>
    <row r="38" spans="1:21" x14ac:dyDescent="0.25">
      <c r="A38" s="20"/>
      <c r="U38" s="21"/>
    </row>
    <row r="39" spans="1:21" x14ac:dyDescent="0.25">
      <c r="A39" s="20"/>
      <c r="U39" s="21"/>
    </row>
    <row r="40" spans="1:21" x14ac:dyDescent="0.25">
      <c r="A40" s="20"/>
      <c r="U40" s="21"/>
    </row>
    <row r="41" spans="1:21" x14ac:dyDescent="0.25">
      <c r="A41" s="20"/>
      <c r="U41" s="21"/>
    </row>
    <row r="42" spans="1:21" x14ac:dyDescent="0.25">
      <c r="A42" s="20"/>
      <c r="U42" s="21"/>
    </row>
    <row r="43" spans="1:21" ht="14.4" thickBot="1" x14ac:dyDescent="0.3">
      <c r="A43" s="20"/>
      <c r="U43" s="21"/>
    </row>
    <row r="44" spans="1:21" ht="14.4" thickBot="1" x14ac:dyDescent="0.3">
      <c r="A44" s="20"/>
      <c r="S44" s="24" t="s">
        <v>50</v>
      </c>
      <c r="T44" s="24" t="s">
        <v>51</v>
      </c>
      <c r="U44" s="25" t="s">
        <v>52</v>
      </c>
    </row>
    <row r="45" spans="1:21" x14ac:dyDescent="0.25">
      <c r="A45" s="20"/>
      <c r="S45" s="26"/>
      <c r="T45" s="26"/>
      <c r="U45" s="27"/>
    </row>
    <row r="46" spans="1:21" ht="14.4" thickBot="1" x14ac:dyDescent="0.3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30"/>
      <c r="T46" s="30"/>
      <c r="U46" s="31"/>
    </row>
    <row r="47" spans="1:21" ht="14.4" thickTop="1" x14ac:dyDescent="0.25"/>
  </sheetData>
  <customSheetViews>
    <customSheetView guid="{07BCEF14-CC63-4612-944A-AC0185AB2E88}" showPageBreaks="1" fitToPage="1" printArea="1" topLeftCell="E16">
      <selection activeCell="W35" sqref="W35"/>
      <pageMargins left="0" right="0" top="0" bottom="0" header="0" footer="0"/>
      <printOptions horizontalCentered="1" verticalCentered="1"/>
      <pageSetup paperSize="8" orientation="landscape" r:id="rId1"/>
      <headerFooter>
        <oddFooter>&amp;R&amp;"Tahoma,Regular"&amp;10Production Control  Div.</oddFooter>
      </headerFooter>
    </customSheetView>
    <customSheetView guid="{66AFB582-7B54-468D-8A7C-50BF887A773A}" scale="55" showPageBreaks="1" printArea="1">
      <selection activeCell="Z32" sqref="Z32"/>
      <pageMargins left="0" right="0" top="0" bottom="0" header="0" footer="0"/>
      <pageSetup paperSize="8" orientation="landscape" r:id="rId2"/>
      <headerFooter>
        <oddFooter>&amp;R&amp;"Tahoma,Regular"&amp;10Production Control  Div.</oddFooter>
      </headerFooter>
    </customSheetView>
    <customSheetView guid="{D1F74CB4-7825-4582-901A-8EDF4E0982B1}" fitToPage="1" topLeftCell="E16">
      <selection activeCell="W35" sqref="W35"/>
      <pageMargins left="0" right="0" top="0" bottom="0" header="0" footer="0"/>
      <printOptions horizontalCentered="1" verticalCentered="1"/>
      <pageSetup paperSize="8" orientation="landscape" r:id="rId3"/>
      <headerFooter>
        <oddFooter>&amp;R&amp;"Tahoma,Regular"&amp;10Production Control  Div.</oddFooter>
      </headerFooter>
    </customSheetView>
  </customSheetViews>
  <mergeCells count="1">
    <mergeCell ref="P3:R4"/>
  </mergeCells>
  <printOptions horizontalCentered="1" verticalCentered="1"/>
  <pageMargins left="0.45" right="0.45" top="0.5" bottom="0.5" header="0.3" footer="0.3"/>
  <pageSetup paperSize="8" scale="99" orientation="landscape" r:id="rId4"/>
  <headerFooter>
    <oddFooter>&amp;R&amp;"Tahoma,Regular"&amp;10Production Control  Div.</oddFooter>
  </headerFooter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10F8-7E2D-4608-89A9-BB739429B5E1}">
  <sheetPr>
    <pageSetUpPr fitToPage="1"/>
  </sheetPr>
  <dimension ref="A2:AI14"/>
  <sheetViews>
    <sheetView showGridLines="0" workbookViewId="0">
      <selection activeCell="B5" sqref="B5"/>
    </sheetView>
  </sheetViews>
  <sheetFormatPr defaultRowHeight="13.8" x14ac:dyDescent="0.25"/>
  <cols>
    <col min="2" max="2" width="13.69921875" bestFit="1" customWidth="1"/>
    <col min="4" max="4" width="15.09765625" bestFit="1" customWidth="1"/>
    <col min="5" max="35" width="4.8984375" customWidth="1"/>
  </cols>
  <sheetData>
    <row r="2" spans="1:35" x14ac:dyDescent="0.25">
      <c r="A2" s="185"/>
      <c r="B2" s="185" t="s">
        <v>94</v>
      </c>
    </row>
    <row r="3" spans="1:35" x14ac:dyDescent="0.25">
      <c r="A3" t="s">
        <v>82</v>
      </c>
      <c r="B3">
        <v>70676805.719047621</v>
      </c>
    </row>
    <row r="4" spans="1:35" x14ac:dyDescent="0.25">
      <c r="A4" t="s">
        <v>83</v>
      </c>
      <c r="B4">
        <v>70546606.766666666</v>
      </c>
    </row>
    <row r="5" spans="1:35" x14ac:dyDescent="0.25">
      <c r="A5" t="s">
        <v>84</v>
      </c>
      <c r="B5">
        <v>68521226.742857143</v>
      </c>
    </row>
    <row r="6" spans="1:35" x14ac:dyDescent="0.25">
      <c r="A6" t="s">
        <v>85</v>
      </c>
      <c r="B6">
        <v>61903346.157142855</v>
      </c>
      <c r="D6" s="123" t="s">
        <v>53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</row>
    <row r="7" spans="1:35" x14ac:dyDescent="0.25">
      <c r="A7" t="s">
        <v>86</v>
      </c>
      <c r="B7">
        <v>77617486.395238101</v>
      </c>
      <c r="D7" s="159" t="s">
        <v>67</v>
      </c>
      <c r="E7" s="160">
        <v>1</v>
      </c>
      <c r="F7" s="160">
        <v>2</v>
      </c>
      <c r="G7" s="160">
        <v>3</v>
      </c>
      <c r="H7" s="160">
        <v>4</v>
      </c>
      <c r="I7" s="160">
        <v>5</v>
      </c>
      <c r="J7" s="160">
        <v>6</v>
      </c>
      <c r="K7" s="160">
        <v>7</v>
      </c>
      <c r="L7" s="160">
        <v>8</v>
      </c>
      <c r="M7" s="160">
        <v>9</v>
      </c>
      <c r="N7" s="160">
        <v>10</v>
      </c>
      <c r="O7" s="160">
        <v>11</v>
      </c>
      <c r="P7" s="160">
        <v>12</v>
      </c>
      <c r="Q7" s="160">
        <v>13</v>
      </c>
      <c r="R7" s="160">
        <v>14</v>
      </c>
      <c r="S7" s="160">
        <v>15</v>
      </c>
      <c r="T7" s="160">
        <v>16</v>
      </c>
      <c r="U7" s="160">
        <v>17</v>
      </c>
      <c r="V7" s="160">
        <v>18</v>
      </c>
      <c r="W7" s="160">
        <v>19</v>
      </c>
      <c r="X7" s="160">
        <v>20</v>
      </c>
      <c r="Y7" s="160">
        <v>21</v>
      </c>
      <c r="Z7" s="160">
        <v>22</v>
      </c>
      <c r="AA7" s="160">
        <v>23</v>
      </c>
      <c r="AB7" s="160">
        <v>24</v>
      </c>
      <c r="AC7" s="160">
        <v>25</v>
      </c>
      <c r="AD7" s="160">
        <v>26</v>
      </c>
      <c r="AE7" s="160">
        <v>27</v>
      </c>
      <c r="AF7" s="160">
        <v>28</v>
      </c>
      <c r="AG7" s="160">
        <v>29</v>
      </c>
      <c r="AH7" s="160">
        <v>30</v>
      </c>
      <c r="AI7" s="160">
        <v>31</v>
      </c>
    </row>
    <row r="8" spans="1:35" x14ac:dyDescent="0.25">
      <c r="A8" t="s">
        <v>87</v>
      </c>
      <c r="B8">
        <v>76501452.466666669</v>
      </c>
      <c r="D8" s="123" t="s">
        <v>68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</row>
    <row r="9" spans="1:35" x14ac:dyDescent="0.25">
      <c r="A9" t="s">
        <v>88</v>
      </c>
      <c r="B9">
        <v>73839706.799999997</v>
      </c>
    </row>
    <row r="10" spans="1:35" x14ac:dyDescent="0.25">
      <c r="A10" t="s">
        <v>89</v>
      </c>
      <c r="B10">
        <v>73870363.942857146</v>
      </c>
    </row>
    <row r="11" spans="1:35" x14ac:dyDescent="0.25">
      <c r="A11" t="s">
        <v>90</v>
      </c>
      <c r="B11">
        <v>74132422.097619042</v>
      </c>
    </row>
    <row r="12" spans="1:35" x14ac:dyDescent="0.25">
      <c r="A12" t="s">
        <v>91</v>
      </c>
      <c r="B12">
        <v>76751425.907142848</v>
      </c>
    </row>
    <row r="13" spans="1:35" x14ac:dyDescent="0.25">
      <c r="A13" t="s">
        <v>92</v>
      </c>
      <c r="B13">
        <v>74712370.311904758</v>
      </c>
    </row>
    <row r="14" spans="1:35" x14ac:dyDescent="0.25">
      <c r="A14" t="s">
        <v>93</v>
      </c>
      <c r="B14">
        <v>65967054.35952381</v>
      </c>
    </row>
  </sheetData>
  <printOptions horizontalCentered="1" verticalCentered="1"/>
  <pageMargins left="0.45" right="0.45" top="0.5" bottom="0.5" header="0.3" footer="0.3"/>
  <pageSetup paperSize="8" orientation="landscape" r:id="rId1"/>
  <headerFooter>
    <oddFooter>&amp;R&amp;"Tahoma,Regular"&amp;10Production Control  Div.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9D9AA965AB34A9569AEBE29885F5B" ma:contentTypeVersion="18" ma:contentTypeDescription="Create a new document." ma:contentTypeScope="" ma:versionID="1d98e365397705681538577af46141bc">
  <xsd:schema xmlns:xsd="http://www.w3.org/2001/XMLSchema" xmlns:xs="http://www.w3.org/2001/XMLSchema" xmlns:p="http://schemas.microsoft.com/office/2006/metadata/properties" xmlns:ns2="f812ed0f-af0a-4a24-9534-e982dce1282d" xmlns:ns3="25ea1658-4a46-4c3a-a20f-43755850c28d" targetNamespace="http://schemas.microsoft.com/office/2006/metadata/properties" ma:root="true" ma:fieldsID="5e8fb79bb0930ed22e60b80a40f2dc24" ns2:_="" ns3:_="">
    <xsd:import namespace="f812ed0f-af0a-4a24-9534-e982dce1282d"/>
    <xsd:import namespace="25ea1658-4a46-4c3a-a20f-43755850c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2ed0f-af0a-4a24-9534-e982dce12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ed5aa49-20c4-447e-bc89-06ec72a9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a1658-4a46-4c3a-a20f-43755850c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bcbae1-49b7-4d77-966d-74bbf0bf4089}" ma:internalName="TaxCatchAll" ma:showField="CatchAllData" ma:web="25ea1658-4a46-4c3a-a20f-43755850c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ea1658-4a46-4c3a-a20f-43755850c28d" xsi:nil="true"/>
    <lcf76f155ced4ddcb4097134ff3c332f xmlns="f812ed0f-af0a-4a24-9534-e982dce128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166526-59CA-4624-AB2A-054D238A8E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7C5BB1-3E73-41A3-8CF2-EFF3CBCE5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2ed0f-af0a-4a24-9534-e982dce1282d"/>
    <ds:schemaRef ds:uri="25ea1658-4a46-4c3a-a20f-43755850c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22E8AE-0FB5-493D-9242-5EDCA22E39D6}">
  <ds:schemaRefs>
    <ds:schemaRef ds:uri="http://www.w3.org/XML/1998/namespace"/>
    <ds:schemaRef ds:uri="25ea1658-4a46-4c3a-a20f-43755850c28d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812ed0f-af0a-4a24-9534-e982dce1282d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Data</vt:lpstr>
      <vt:lpstr>Over view</vt:lpstr>
      <vt:lpstr>WD</vt:lpstr>
      <vt:lpstr>PRB</vt:lpstr>
      <vt:lpstr>ADVICS</vt:lpstr>
      <vt:lpstr>TAP-C</vt:lpstr>
      <vt:lpstr>Other</vt:lpstr>
      <vt:lpstr>Sheet1</vt:lpstr>
      <vt:lpstr>Other!Print_Area</vt:lpstr>
      <vt:lpstr>'Over view'!Print_Area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Support</dc:creator>
  <cp:keywords/>
  <dc:description/>
  <cp:lastModifiedBy>Ratchadaporn Sudadej</cp:lastModifiedBy>
  <cp:revision/>
  <cp:lastPrinted>2026-03-09T02:20:01Z</cp:lastPrinted>
  <dcterms:created xsi:type="dcterms:W3CDTF">2013-01-10T09:52:56Z</dcterms:created>
  <dcterms:modified xsi:type="dcterms:W3CDTF">2026-04-06T12:03:44Z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0x01010091D9D9AA965AB34A9569AEBE29885F5B</vt:lpwstr>
  </property>
  <property fmtid="{D5CDD505-2E9C-101B-9397-08002B2CF9AE}" pid="3" name="MediaServiceImageTags">
    <vt:lpwstr/>
  </property>
</Properties>
</file>